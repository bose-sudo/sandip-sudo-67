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osmojve/Downloads/"/>
    </mc:Choice>
  </mc:AlternateContent>
  <xr:revisionPtr revIDLastSave="0" documentId="13_ncr:1_{C74279DE-3093-1C4D-93EE-FF53A7CB26EA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Customer Sheet" sheetId="1" r:id="rId1"/>
    <sheet name="Risk Summary" sheetId="2" r:id="rId2"/>
    <sheet name="Logic" sheetId="4" r:id="rId3"/>
  </sheets>
  <definedNames>
    <definedName name="_xlnm._FilterDatabase" localSheetId="0" hidden="1">'Customer Sheet'!$A$2:$BB$32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3" i="1" l="1"/>
  <c r="AW33" i="1"/>
  <c r="AT32" i="1"/>
  <c r="AU32" i="1" s="1"/>
  <c r="AW32" i="1" s="1"/>
  <c r="AQ32" i="1"/>
  <c r="AR32" i="1" s="1"/>
  <c r="AO32" i="1"/>
  <c r="AM32" i="1"/>
  <c r="AK32" i="1"/>
  <c r="AU31" i="1"/>
  <c r="AW31" i="1" s="1"/>
  <c r="AT31" i="1"/>
  <c r="AQ31" i="1"/>
  <c r="AO31" i="1"/>
  <c r="AM31" i="1"/>
  <c r="AK31" i="1"/>
  <c r="AR31" i="1" s="1"/>
  <c r="AT30" i="1"/>
  <c r="AU30" i="1" s="1"/>
  <c r="AW30" i="1" s="1"/>
  <c r="AQ30" i="1"/>
  <c r="AR30" i="1" s="1"/>
  <c r="AO30" i="1"/>
  <c r="AM30" i="1"/>
  <c r="AK30" i="1"/>
  <c r="AU29" i="1"/>
  <c r="AW29" i="1" s="1"/>
  <c r="AT29" i="1"/>
  <c r="AQ29" i="1"/>
  <c r="AR29" i="1" s="1"/>
  <c r="AO29" i="1"/>
  <c r="AM29" i="1"/>
  <c r="AK29" i="1"/>
  <c r="AW28" i="1"/>
  <c r="AZ28" i="1" s="1"/>
  <c r="AU28" i="1"/>
  <c r="AT28" i="1"/>
  <c r="AQ28" i="1"/>
  <c r="AR28" i="1" s="1"/>
  <c r="AO28" i="1"/>
  <c r="AM28" i="1"/>
  <c r="AK28" i="1"/>
  <c r="AT27" i="1"/>
  <c r="AU27" i="1" s="1"/>
  <c r="AW27" i="1" s="1"/>
  <c r="AQ27" i="1"/>
  <c r="AO27" i="1"/>
  <c r="AM27" i="1"/>
  <c r="AK27" i="1"/>
  <c r="AR27" i="1" s="1"/>
  <c r="AT26" i="1"/>
  <c r="AU26" i="1" s="1"/>
  <c r="AW26" i="1" s="1"/>
  <c r="AQ26" i="1"/>
  <c r="AO26" i="1"/>
  <c r="AM26" i="1"/>
  <c r="AR26" i="1" s="1"/>
  <c r="AK26" i="1"/>
  <c r="AU25" i="1"/>
  <c r="AW25" i="1" s="1"/>
  <c r="AT25" i="1"/>
  <c r="AQ25" i="1"/>
  <c r="AR25" i="1" s="1"/>
  <c r="AO25" i="1"/>
  <c r="AM25" i="1"/>
  <c r="AK25" i="1"/>
  <c r="AW24" i="1"/>
  <c r="AZ24" i="1" s="1"/>
  <c r="AU24" i="1"/>
  <c r="AT24" i="1"/>
  <c r="AQ24" i="1"/>
  <c r="AR24" i="1" s="1"/>
  <c r="AO24" i="1"/>
  <c r="AM24" i="1"/>
  <c r="AK24" i="1"/>
  <c r="AT23" i="1"/>
  <c r="AU23" i="1" s="1"/>
  <c r="AW23" i="1" s="1"/>
  <c r="AQ23" i="1"/>
  <c r="AO23" i="1"/>
  <c r="AM23" i="1"/>
  <c r="AK23" i="1"/>
  <c r="AR23" i="1" s="1"/>
  <c r="AT22" i="1"/>
  <c r="AU22" i="1" s="1"/>
  <c r="AW22" i="1" s="1"/>
  <c r="AQ22" i="1"/>
  <c r="AO22" i="1"/>
  <c r="AM22" i="1"/>
  <c r="AR22" i="1" s="1"/>
  <c r="AK22" i="1"/>
  <c r="AU21" i="1"/>
  <c r="AW21" i="1" s="1"/>
  <c r="AT21" i="1"/>
  <c r="AQ21" i="1"/>
  <c r="AR21" i="1" s="1"/>
  <c r="AO21" i="1"/>
  <c r="AM21" i="1"/>
  <c r="AK21" i="1"/>
  <c r="AW20" i="1"/>
  <c r="AZ20" i="1" s="1"/>
  <c r="AU20" i="1"/>
  <c r="AT20" i="1"/>
  <c r="AQ20" i="1"/>
  <c r="AR20" i="1" s="1"/>
  <c r="AO20" i="1"/>
  <c r="AM20" i="1"/>
  <c r="AK20" i="1"/>
  <c r="AT19" i="1"/>
  <c r="AU19" i="1" s="1"/>
  <c r="AW19" i="1" s="1"/>
  <c r="AR19" i="1"/>
  <c r="AQ19" i="1"/>
  <c r="AO19" i="1"/>
  <c r="AM19" i="1"/>
  <c r="AK19" i="1"/>
  <c r="AT18" i="1"/>
  <c r="AU18" i="1" s="1"/>
  <c r="AW18" i="1" s="1"/>
  <c r="AQ18" i="1"/>
  <c r="AO18" i="1"/>
  <c r="AM18" i="1"/>
  <c r="AR18" i="1" s="1"/>
  <c r="AK18" i="1"/>
  <c r="AU17" i="1"/>
  <c r="AW17" i="1" s="1"/>
  <c r="AT17" i="1"/>
  <c r="AQ17" i="1"/>
  <c r="AR17" i="1" s="1"/>
  <c r="AO17" i="1"/>
  <c r="AM17" i="1"/>
  <c r="AK17" i="1"/>
  <c r="AW16" i="1"/>
  <c r="AZ16" i="1" s="1"/>
  <c r="AU16" i="1"/>
  <c r="AT16" i="1"/>
  <c r="AQ16" i="1"/>
  <c r="AR16" i="1" s="1"/>
  <c r="AO16" i="1"/>
  <c r="AM16" i="1"/>
  <c r="AK16" i="1"/>
  <c r="AT15" i="1"/>
  <c r="AU15" i="1" s="1"/>
  <c r="AW15" i="1" s="1"/>
  <c r="AQ15" i="1"/>
  <c r="AO15" i="1"/>
  <c r="AM15" i="1"/>
  <c r="AK15" i="1"/>
  <c r="AR15" i="1" s="1"/>
  <c r="AT14" i="1"/>
  <c r="AU14" i="1" s="1"/>
  <c r="AW14" i="1" s="1"/>
  <c r="AQ14" i="1"/>
  <c r="AO14" i="1"/>
  <c r="AM14" i="1"/>
  <c r="AR14" i="1" s="1"/>
  <c r="AK14" i="1"/>
  <c r="AU13" i="1"/>
  <c r="AW13" i="1" s="1"/>
  <c r="AT13" i="1"/>
  <c r="AQ13" i="1"/>
  <c r="AR13" i="1" s="1"/>
  <c r="AO13" i="1"/>
  <c r="AM13" i="1"/>
  <c r="AK13" i="1"/>
  <c r="AW12" i="1"/>
  <c r="AZ12" i="1" s="1"/>
  <c r="AU12" i="1"/>
  <c r="AT12" i="1"/>
  <c r="AQ12" i="1"/>
  <c r="AR12" i="1" s="1"/>
  <c r="AO12" i="1"/>
  <c r="AM12" i="1"/>
  <c r="AK12" i="1"/>
  <c r="AT11" i="1"/>
  <c r="AU11" i="1" s="1"/>
  <c r="AW11" i="1" s="1"/>
  <c r="AQ11" i="1"/>
  <c r="AO11" i="1"/>
  <c r="AM11" i="1"/>
  <c r="AK11" i="1"/>
  <c r="AR11" i="1" s="1"/>
  <c r="AT10" i="1"/>
  <c r="AU10" i="1" s="1"/>
  <c r="AW10" i="1" s="1"/>
  <c r="AQ10" i="1"/>
  <c r="AO10" i="1"/>
  <c r="AM10" i="1"/>
  <c r="AR10" i="1" s="1"/>
  <c r="AK10" i="1"/>
  <c r="AU9" i="1"/>
  <c r="AW9" i="1" s="1"/>
  <c r="AT9" i="1"/>
  <c r="AQ9" i="1"/>
  <c r="AR9" i="1" s="1"/>
  <c r="AO9" i="1"/>
  <c r="AM9" i="1"/>
  <c r="AK9" i="1"/>
  <c r="AT8" i="1"/>
  <c r="AU8" i="1" s="1"/>
  <c r="AW8" i="1" s="1"/>
  <c r="AQ8" i="1"/>
  <c r="AR8" i="1" s="1"/>
  <c r="AO8" i="1"/>
  <c r="AM8" i="1"/>
  <c r="AK8" i="1"/>
  <c r="AU7" i="1"/>
  <c r="AW7" i="1" s="1"/>
  <c r="AT7" i="1"/>
  <c r="AQ7" i="1"/>
  <c r="AO7" i="1"/>
  <c r="AM7" i="1"/>
  <c r="AK7" i="1"/>
  <c r="AR7" i="1" s="1"/>
  <c r="AT6" i="1"/>
  <c r="AU6" i="1" s="1"/>
  <c r="AW6" i="1" s="1"/>
  <c r="AQ6" i="1"/>
  <c r="AR6" i="1" s="1"/>
  <c r="AO6" i="1"/>
  <c r="AM6" i="1"/>
  <c r="AK6" i="1"/>
  <c r="AU5" i="1"/>
  <c r="AW5" i="1" s="1"/>
  <c r="AT5" i="1"/>
  <c r="AQ5" i="1"/>
  <c r="AO5" i="1"/>
  <c r="AR5" i="1" s="1"/>
  <c r="AM5" i="1"/>
  <c r="AK5" i="1"/>
  <c r="AT4" i="1"/>
  <c r="AU4" i="1" s="1"/>
  <c r="AW4" i="1" s="1"/>
  <c r="AQ4" i="1"/>
  <c r="AR4" i="1" s="1"/>
  <c r="AO4" i="1"/>
  <c r="AM4" i="1"/>
  <c r="AK4" i="1"/>
  <c r="AU3" i="1"/>
  <c r="AW3" i="1" s="1"/>
  <c r="AT3" i="1"/>
  <c r="AQ3" i="1"/>
  <c r="AO3" i="1"/>
  <c r="AM3" i="1"/>
  <c r="AK3" i="1"/>
  <c r="AR3" i="1" s="1"/>
  <c r="BA3" i="1" l="1"/>
  <c r="AZ3" i="1"/>
  <c r="BB3" i="1"/>
  <c r="AY3" i="1"/>
  <c r="AX3" i="1"/>
  <c r="BB22" i="1"/>
  <c r="AX22" i="1"/>
  <c r="BA22" i="1"/>
  <c r="AZ22" i="1"/>
  <c r="AY22" i="1"/>
  <c r="BA27" i="1"/>
  <c r="AX27" i="1"/>
  <c r="AZ27" i="1"/>
  <c r="AY27" i="1"/>
  <c r="BB27" i="1"/>
  <c r="BA31" i="1"/>
  <c r="AZ31" i="1"/>
  <c r="AY31" i="1"/>
  <c r="AX31" i="1"/>
  <c r="BB31" i="1"/>
  <c r="AZ4" i="1"/>
  <c r="AY4" i="1"/>
  <c r="BB4" i="1"/>
  <c r="AX4" i="1"/>
  <c r="BA4" i="1"/>
  <c r="AY9" i="1"/>
  <c r="AZ9" i="1"/>
  <c r="BB9" i="1"/>
  <c r="AX9" i="1"/>
  <c r="BA9" i="1"/>
  <c r="BB14" i="1"/>
  <c r="AX14" i="1"/>
  <c r="BA14" i="1"/>
  <c r="AZ14" i="1"/>
  <c r="AY14" i="1"/>
  <c r="BA23" i="1"/>
  <c r="AZ23" i="1"/>
  <c r="AY23" i="1"/>
  <c r="BB23" i="1"/>
  <c r="AX23" i="1"/>
  <c r="AY29" i="1"/>
  <c r="BB29" i="1"/>
  <c r="AX29" i="1"/>
  <c r="BA29" i="1"/>
  <c r="AZ29" i="1"/>
  <c r="AZ32" i="1"/>
  <c r="AY32" i="1"/>
  <c r="BB32" i="1"/>
  <c r="AX32" i="1"/>
  <c r="BA32" i="1"/>
  <c r="BB6" i="1"/>
  <c r="AX6" i="1"/>
  <c r="BA6" i="1"/>
  <c r="AZ6" i="1"/>
  <c r="AY6" i="1"/>
  <c r="BB18" i="1"/>
  <c r="AX18" i="1"/>
  <c r="BA18" i="1"/>
  <c r="AZ18" i="1"/>
  <c r="AY18" i="1"/>
  <c r="BA7" i="1"/>
  <c r="AZ7" i="1"/>
  <c r="BB7" i="1"/>
  <c r="AY7" i="1"/>
  <c r="AX7" i="1"/>
  <c r="BB10" i="1"/>
  <c r="AX10" i="1"/>
  <c r="BA10" i="1"/>
  <c r="AZ10" i="1"/>
  <c r="AY10" i="1"/>
  <c r="BA15" i="1"/>
  <c r="AX15" i="1"/>
  <c r="AZ15" i="1"/>
  <c r="AY15" i="1"/>
  <c r="BB15" i="1"/>
  <c r="BA19" i="1"/>
  <c r="AZ19" i="1"/>
  <c r="AY19" i="1"/>
  <c r="BB19" i="1"/>
  <c r="AX19" i="1"/>
  <c r="AY25" i="1"/>
  <c r="BB25" i="1"/>
  <c r="AX25" i="1"/>
  <c r="BA25" i="1"/>
  <c r="AZ25" i="1"/>
  <c r="BB30" i="1"/>
  <c r="AX30" i="1"/>
  <c r="BA30" i="1"/>
  <c r="AZ30" i="1"/>
  <c r="AY30" i="1"/>
  <c r="AY13" i="1"/>
  <c r="AZ13" i="1"/>
  <c r="BB13" i="1"/>
  <c r="AX13" i="1"/>
  <c r="BA13" i="1"/>
  <c r="AY5" i="1"/>
  <c r="BB5" i="1"/>
  <c r="AX5" i="1"/>
  <c r="BA5" i="1"/>
  <c r="AZ5" i="1"/>
  <c r="AZ8" i="1"/>
  <c r="AY8" i="1"/>
  <c r="BB8" i="1"/>
  <c r="AX8" i="1"/>
  <c r="BA8" i="1"/>
  <c r="BA11" i="1"/>
  <c r="AZ11" i="1"/>
  <c r="AY11" i="1"/>
  <c r="BB11" i="1"/>
  <c r="AX11" i="1"/>
  <c r="AY17" i="1"/>
  <c r="BB17" i="1"/>
  <c r="AX17" i="1"/>
  <c r="BA17" i="1"/>
  <c r="AZ17" i="1"/>
  <c r="AY21" i="1"/>
  <c r="BB21" i="1"/>
  <c r="AX21" i="1"/>
  <c r="BA21" i="1"/>
  <c r="AZ21" i="1"/>
  <c r="BB26" i="1"/>
  <c r="AX26" i="1"/>
  <c r="BA26" i="1"/>
  <c r="AZ26" i="1"/>
  <c r="AY26" i="1"/>
  <c r="BA12" i="1"/>
  <c r="BA24" i="1"/>
  <c r="BA28" i="1"/>
  <c r="BA20" i="1"/>
  <c r="AX12" i="1"/>
  <c r="BB12" i="1"/>
  <c r="AX16" i="1"/>
  <c r="BB16" i="1"/>
  <c r="AX20" i="1"/>
  <c r="BB20" i="1"/>
  <c r="AX24" i="1"/>
  <c r="BB24" i="1"/>
  <c r="AX28" i="1"/>
  <c r="BB28" i="1"/>
  <c r="AZ33" i="1"/>
  <c r="AY12" i="1"/>
  <c r="AY16" i="1"/>
  <c r="AY20" i="1"/>
  <c r="AY24" i="1"/>
  <c r="AY28" i="1"/>
  <c r="BA33" i="1"/>
  <c r="BA16" i="1"/>
  <c r="B5" i="2" l="1"/>
  <c r="B4" i="2"/>
  <c r="B3" i="2"/>
  <c r="B2" i="2"/>
</calcChain>
</file>

<file path=xl/sharedStrings.xml><?xml version="1.0" encoding="utf-8"?>
<sst xmlns="http://schemas.openxmlformats.org/spreadsheetml/2006/main" count="655" uniqueCount="282">
  <si>
    <t>weelk 1 May</t>
  </si>
  <si>
    <t>Week 2 May</t>
  </si>
  <si>
    <t>Week 3 May</t>
  </si>
  <si>
    <t>Week 4 May</t>
  </si>
  <si>
    <t>May month</t>
  </si>
  <si>
    <t>Jun 1st week</t>
  </si>
  <si>
    <t>S. No.</t>
  </si>
  <si>
    <t>Customer Name</t>
  </si>
  <si>
    <t>Date</t>
  </si>
  <si>
    <t>Borrower ID</t>
  </si>
  <si>
    <t>Status</t>
  </si>
  <si>
    <t>Dealer ID</t>
  </si>
  <si>
    <t>Dealer Name</t>
  </si>
  <si>
    <t>OEM</t>
  </si>
  <si>
    <t>Step</t>
  </si>
  <si>
    <t>Last Step</t>
  </si>
  <si>
    <t>Remark</t>
  </si>
  <si>
    <t>Gender</t>
  </si>
  <si>
    <t>Mobile Number</t>
  </si>
  <si>
    <t>Permanent Address Line 1</t>
  </si>
  <si>
    <t>Permanent Address Line 2</t>
  </si>
  <si>
    <t>Permanent State</t>
  </si>
  <si>
    <t>Occupation Type</t>
  </si>
  <si>
    <t>Occupation Other</t>
  </si>
  <si>
    <t>Vehicle Type</t>
  </si>
  <si>
    <t>Loan Amount (Final)</t>
  </si>
  <si>
    <t>Down Payment</t>
  </si>
  <si>
    <t>Credit Score</t>
  </si>
  <si>
    <t>Monthly Income</t>
  </si>
  <si>
    <t>Annual Income (HH)</t>
  </si>
  <si>
    <t>Disbursement Date</t>
  </si>
  <si>
    <t>1st EMI Date</t>
  </si>
  <si>
    <t>Tenure</t>
  </si>
  <si>
    <t>Interest Rate (Flat)</t>
  </si>
  <si>
    <t>Interest Rate (Reducing)</t>
  </si>
  <si>
    <t>Asset Cost (including cost of IoT)</t>
  </si>
  <si>
    <t>LTV</t>
  </si>
  <si>
    <t>Reason for low LTV</t>
  </si>
  <si>
    <t>Source of funds (in case of lower LTV)</t>
  </si>
  <si>
    <t>Disbursement Month</t>
  </si>
  <si>
    <t>Battery Number</t>
  </si>
  <si>
    <t>Week1 km Drive</t>
  </si>
  <si>
    <t>Expected Earning</t>
  </si>
  <si>
    <t>Week2 km Drive</t>
  </si>
  <si>
    <t>Week3 km Drive</t>
  </si>
  <si>
    <t>Week4 km Drive</t>
  </si>
  <si>
    <t>Week5 km Drive</t>
  </si>
  <si>
    <t>Expexted Earning</t>
  </si>
  <si>
    <t xml:space="preserve">Expexted Monthly Earning </t>
  </si>
  <si>
    <t>EMI amount</t>
  </si>
  <si>
    <t>FOIR %</t>
  </si>
  <si>
    <t>Final Risk Category</t>
  </si>
  <si>
    <t>Low Risk</t>
  </si>
  <si>
    <t>Mediaum Risk</t>
  </si>
  <si>
    <t xml:space="preserve">High Risk </t>
  </si>
  <si>
    <t>Expeted default cust Default</t>
  </si>
  <si>
    <t>MD MUKHTAR SAH</t>
  </si>
  <si>
    <t>FIN-1021</t>
  </si>
  <si>
    <t>DISBURSED</t>
  </si>
  <si>
    <t>FIN-DEA-229</t>
  </si>
  <si>
    <t>HUSSAIN AUTOMOBILE</t>
  </si>
  <si>
    <t>DILLI ELECTRIC AUTO PRIVATE LIMITED</t>
  </si>
  <si>
    <t>PDD</t>
  </si>
  <si>
    <t>Vehicle Documents Upload</t>
  </si>
  <si>
    <t>Male</t>
  </si>
  <si>
    <t>telwa ward no-08</t>
  </si>
  <si>
    <t>Telwa</t>
  </si>
  <si>
    <t>Bihar</t>
  </si>
  <si>
    <t>Self Employed</t>
  </si>
  <si>
    <t>Farmer</t>
  </si>
  <si>
    <t>E-Rickshaw (L3)</t>
  </si>
  <si>
    <t>NTC</t>
  </si>
  <si>
    <t>Wanted to reduce the interest component of loan</t>
  </si>
  <si>
    <t>Arranged funds from friends and family</t>
  </si>
  <si>
    <t>Mar</t>
  </si>
  <si>
    <t>TK-51105-16AZ-184882</t>
  </si>
  <si>
    <t>KUSH KUMAR</t>
  </si>
  <si>
    <t>FIN-1050</t>
  </si>
  <si>
    <t>FIN-DEA-234</t>
  </si>
  <si>
    <t>MAYANK AUTO GARAZ</t>
  </si>
  <si>
    <t>sandha bazar samiti</t>
  </si>
  <si>
    <t>post sandha Chapra</t>
  </si>
  <si>
    <t>Driver</t>
  </si>
  <si>
    <t>N/A</t>
  </si>
  <si>
    <t>Apr</t>
  </si>
  <si>
    <t>TK-51105-19CZ-204919</t>
  </si>
  <si>
    <t>NOMAN</t>
  </si>
  <si>
    <t>FIN-1074</t>
  </si>
  <si>
    <t>FIN-DEA-233</t>
  </si>
  <si>
    <t>V G CONSTRUCTION AND TRADING COMPANY</t>
  </si>
  <si>
    <t>Y C ELECTRIC VEHICLE</t>
  </si>
  <si>
    <t>House No 198</t>
  </si>
  <si>
    <t>Fiza Colony</t>
  </si>
  <si>
    <t>Madhya Pradesh</t>
  </si>
  <si>
    <t>TK-64105-13BZ-010888</t>
  </si>
  <si>
    <t>RAHUL JATAV</t>
  </si>
  <si>
    <t>FIN-1094</t>
  </si>
  <si>
    <t>house no.43</t>
  </si>
  <si>
    <t>near priti school</t>
  </si>
  <si>
    <t>May</t>
  </si>
  <si>
    <t>TK-64105-09AZ-009769</t>
  </si>
  <si>
    <t>MD IMTEYAJ ALAM</t>
  </si>
  <si>
    <t>FIN-1110</t>
  </si>
  <si>
    <t>FIN-DEA-230</t>
  </si>
  <si>
    <t>MITHILESH AUTOMOBILES</t>
  </si>
  <si>
    <t>KYC</t>
  </si>
  <si>
    <t>EMI Debit Consent</t>
  </si>
  <si>
    <t>vard-2</t>
  </si>
  <si>
    <t>narhan</t>
  </si>
  <si>
    <t>TK-51105-16AZ-184870</t>
  </si>
  <si>
    <t>SANJEET KUMAR</t>
  </si>
  <si>
    <t>FIN-1134</t>
  </si>
  <si>
    <t>FIN-DEA-272</t>
  </si>
  <si>
    <t>Anshu Global Enterprises</t>
  </si>
  <si>
    <t>LECTRIX E VEHICLES PRIVATE LIMITED</t>
  </si>
  <si>
    <t>E-NACH step completed</t>
  </si>
  <si>
    <t>ward no-13</t>
  </si>
  <si>
    <t>chakla</t>
  </si>
  <si>
    <t>MH8AK7JOCB00617</t>
  </si>
  <si>
    <t>ANKIT SRIVASTAVA</t>
  </si>
  <si>
    <t>FIN-1159</t>
  </si>
  <si>
    <t>FIN-DEA-255</t>
  </si>
  <si>
    <t>AASTHA TRADERS</t>
  </si>
  <si>
    <t>semri</t>
  </si>
  <si>
    <t>po mahadeoghurhoo</t>
  </si>
  <si>
    <t>Uttar Pradesh</t>
  </si>
  <si>
    <t>Driving</t>
  </si>
  <si>
    <t>MH8AKCLOCA00036</t>
  </si>
  <si>
    <t>RAJAN KUMAR</t>
  </si>
  <si>
    <t>FIN-1160</t>
  </si>
  <si>
    <t>FIN-DEA-251</t>
  </si>
  <si>
    <t>Gulshan Automobile</t>
  </si>
  <si>
    <t>village hariharganj</t>
  </si>
  <si>
    <t>Nasriganj</t>
  </si>
  <si>
    <t>KSF51106Y30L15397</t>
  </si>
  <si>
    <t>JITENDRA SAHU</t>
  </si>
  <si>
    <t>FIN-1164</t>
  </si>
  <si>
    <t>VKYC Status</t>
  </si>
  <si>
    <t>gali no 01</t>
  </si>
  <si>
    <t>Wanted lower EMI/interest burden</t>
  </si>
  <si>
    <t>Borrowed from his brother @5%</t>
  </si>
  <si>
    <t>TK-64105-13BZ-010898</t>
  </si>
  <si>
    <t>MOHAMMAD SHAKIB</t>
  </si>
  <si>
    <t>FIN-1168</t>
  </si>
  <si>
    <t>FIN-DEA-243</t>
  </si>
  <si>
    <t>JANTA AUTO SALES</t>
  </si>
  <si>
    <t>parsa pandit</t>
  </si>
  <si>
    <t>po telgadia bzg</t>
  </si>
  <si>
    <t>Business</t>
  </si>
  <si>
    <t>ENEFL5WIGW2U13229</t>
  </si>
  <si>
    <t>SUNITA DEVI</t>
  </si>
  <si>
    <t>FIN-1174</t>
  </si>
  <si>
    <t>FIN-DEA-266</t>
  </si>
  <si>
    <t>SHARDA ENTERPRISES</t>
  </si>
  <si>
    <t>Field Inspection Details</t>
  </si>
  <si>
    <t>Female</t>
  </si>
  <si>
    <t>Balgaon Chandpura Buzurg</t>
  </si>
  <si>
    <t>Baligaon Chandpura</t>
  </si>
  <si>
    <t>MH8AK4JOCB00156</t>
  </si>
  <si>
    <t>SHANKAR KUMAR</t>
  </si>
  <si>
    <t>FIN-1204</t>
  </si>
  <si>
    <t>Registration</t>
  </si>
  <si>
    <t>Borrower Occupation</t>
  </si>
  <si>
    <t>village-piprahari</t>
  </si>
  <si>
    <t>post pipra khurd</t>
  </si>
  <si>
    <t>MH8AKAJOCB00953</t>
  </si>
  <si>
    <t>SARVJEET</t>
  </si>
  <si>
    <t>FIN-1209</t>
  </si>
  <si>
    <t>gram-batsa</t>
  </si>
  <si>
    <t>post-sawadand</t>
  </si>
  <si>
    <t>MH8AKCLOCA00021</t>
  </si>
  <si>
    <t>SATISH KUMAR SINGH</t>
  </si>
  <si>
    <t>FIN-1234</t>
  </si>
  <si>
    <t>Rampur Khakhi Baba</t>
  </si>
  <si>
    <t xml:space="preserve"> Ke Tola</t>
  </si>
  <si>
    <t>Auto Driver</t>
  </si>
  <si>
    <t>E-Auto (L5)</t>
  </si>
  <si>
    <t>TK-64105-25BZ-011394</t>
  </si>
  <si>
    <t>ANIL KUMAR SAHNI</t>
  </si>
  <si>
    <t>FIN-1243</t>
  </si>
  <si>
    <t>FIN-DEA-283</t>
  </si>
  <si>
    <t>YESH AUTOMOBILE</t>
  </si>
  <si>
    <t>graam 6lachhumanwa</t>
  </si>
  <si>
    <t xml:space="preserve"> post saunah thana</t>
  </si>
  <si>
    <t>ENELB6WIGK2T21659</t>
  </si>
  <si>
    <t>CHHOTELAL</t>
  </si>
  <si>
    <t>FIN-1245</t>
  </si>
  <si>
    <t>pipra mishr</t>
  </si>
  <si>
    <t xml:space="preserve"> mithwal bazar</t>
  </si>
  <si>
    <t>TK-64132-08AZ-000554</t>
  </si>
  <si>
    <t>MOHMMAD DILSHAD</t>
  </si>
  <si>
    <t>FIN-1248</t>
  </si>
  <si>
    <t>FIN-DEA-259</t>
  </si>
  <si>
    <t>ANAY MOTO CORP</t>
  </si>
  <si>
    <t>Saidpur</t>
  </si>
  <si>
    <t xml:space="preserve"> Rampur Matihani Rampur</t>
  </si>
  <si>
    <t>KSF64106Z06D23253</t>
  </si>
  <si>
    <t>ASHFAK ALI</t>
  </si>
  <si>
    <t>FIN-1254</t>
  </si>
  <si>
    <t>Ward no 05</t>
  </si>
  <si>
    <t xml:space="preserve"> pabra</t>
  </si>
  <si>
    <t>KSF64106Z06D23252</t>
  </si>
  <si>
    <t>MOHAMMAD IRSHAD</t>
  </si>
  <si>
    <t>FIN-1272</t>
  </si>
  <si>
    <t>Ward No-05</t>
  </si>
  <si>
    <t xml:space="preserve"> Dakhi Ghat</t>
  </si>
  <si>
    <t>MH8AKAJOCB00959</t>
  </si>
  <si>
    <t>SURENDAR KUMAR</t>
  </si>
  <si>
    <t>FIN-1308</t>
  </si>
  <si>
    <t>post-talpurwa</t>
  </si>
  <si>
    <t xml:space="preserve"> gram-baradaha nankar</t>
  </si>
  <si>
    <t>TK-51105-19CZ-204915</t>
  </si>
  <si>
    <t>DHIRAJ KUMAR</t>
  </si>
  <si>
    <t>FIN-1328</t>
  </si>
  <si>
    <t>pidauli, Amjadpur Bitholi</t>
  </si>
  <si>
    <t> Teghra, Begusarai</t>
  </si>
  <si>
    <t>Was not open to discuss loan details</t>
  </si>
  <si>
    <t>KSF64106Z06D23269</t>
  </si>
  <si>
    <t>RAVIN RAM</t>
  </si>
  <si>
    <t>FIN-1316</t>
  </si>
  <si>
    <t>FIN-DEA-247</t>
  </si>
  <si>
    <t>Vaishnavi Trading company</t>
  </si>
  <si>
    <t>saharam, dhanupra</t>
  </si>
  <si>
    <t>po dhanpura Saharsa</t>
  </si>
  <si>
    <t>Wage Labourer</t>
  </si>
  <si>
    <t>Work</t>
  </si>
  <si>
    <t>TK-64105-04DZ-013624</t>
  </si>
  <si>
    <t>BUDDH PRAKASH</t>
  </si>
  <si>
    <t>FIN-1296</t>
  </si>
  <si>
    <t>piprapadrupur, Piprapadrupur</t>
  </si>
  <si>
    <t>Siddharthnagar</t>
  </si>
  <si>
    <t>MH8AKKLOCB00317</t>
  </si>
  <si>
    <t>RAJA BABU</t>
  </si>
  <si>
    <t>FIN-1219</t>
  </si>
  <si>
    <t>SO, pathra 301th ward no-03</t>
  </si>
  <si>
    <t>Pathrajolhania, Pathra, Supaul</t>
  </si>
  <si>
    <t>MH8AK8JOCB00733</t>
  </si>
  <si>
    <t>NANDAN KUMAR</t>
  </si>
  <si>
    <t>FIN-1350</t>
  </si>
  <si>
    <t>FIN-DEA-258</t>
  </si>
  <si>
    <t>SHAQUIB AUTOMOBILES</t>
  </si>
  <si>
    <t>Ratauli, Ward no-04, Ratauli</t>
  </si>
  <si>
    <t>Supaul</t>
  </si>
  <si>
    <t>TK-51105-12AZ-183205</t>
  </si>
  <si>
    <t>KANHAIYA SAH</t>
  </si>
  <si>
    <t>FIN-1354</t>
  </si>
  <si>
    <t>gram bhawanari, post sirisiya khurd, Bhawnari, Adapur</t>
  </si>
  <si>
    <t>East Champaran,</t>
  </si>
  <si>
    <t>TK-64140-04EZ-001604</t>
  </si>
  <si>
    <t>NILESH KUMAR SHARMA</t>
  </si>
  <si>
    <t>FIN-1351</t>
  </si>
  <si>
    <t>FIN-DEA-295</t>
  </si>
  <si>
    <t>ANSH AUTO MOBILE</t>
  </si>
  <si>
    <t>puraniganj mali tola</t>
  </si>
  <si>
    <t>Munger</t>
  </si>
  <si>
    <t>TK-51105-04DZ-214227</t>
  </si>
  <si>
    <t>RAMESHWAR DAS</t>
  </si>
  <si>
    <t>FIN-1363</t>
  </si>
  <si>
    <t>gram Ababakarpur, ward 07, Ababakarpur</t>
  </si>
  <si>
    <t>Manpura, Samastipur</t>
  </si>
  <si>
    <t>MH8AK3JOCA00040</t>
  </si>
  <si>
    <t>DINANATH GUPTA</t>
  </si>
  <si>
    <t>FIN-1320</t>
  </si>
  <si>
    <t>S/O:Baburam, Vill Kethela Garvi, Tola Teiyadeeh, </t>
  </si>
  <si>
    <t>Dhebirooa Nagar, Siddharthnagar</t>
  </si>
  <si>
    <t>MH8AKFAPCB00729</t>
  </si>
  <si>
    <t>HARISHANKAR YADAV</t>
  </si>
  <si>
    <t>FIN-1345</t>
  </si>
  <si>
    <t>Belaukhara post-thumha Ward, no-05</t>
  </si>
  <si>
    <t>Thumha, Pipra Supaul</t>
  </si>
  <si>
    <t>MH8AK9JOCA00805</t>
  </si>
  <si>
    <t>Risk Category</t>
  </si>
  <si>
    <t>Count</t>
  </si>
  <si>
    <t>Medium Risk</t>
  </si>
  <si>
    <t>High Risk</t>
  </si>
  <si>
    <t>Expected Default</t>
  </si>
  <si>
    <t>FOIR = EMI ÷ Expected Monthly Earning × 100</t>
  </si>
  <si>
    <t>Low Risk ≤ 50%</t>
  </si>
  <si>
    <t>Medium Risk &gt;50% to ≤75%</t>
  </si>
  <si>
    <t>High Risk &gt;75% to ≤90%</t>
  </si>
  <si>
    <t>Expected Default &gt;90%</t>
  </si>
  <si>
    <t xml:space="preserve">Logic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</si>
</sst>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B183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11" borderId="1" xfId="0" applyFill="1" applyBorder="1"/>
    <xf numFmtId="0" fontId="2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3"/>
  <sheetViews>
    <sheetView tabSelected="1" topLeftCell="AQ1" workbookViewId="0">
      <selection activeCell="AX3" sqref="AX3"/>
    </sheetView>
  </sheetViews>
  <sheetFormatPr baseColWidth="10" defaultColWidth="8.83203125" defaultRowHeight="15" x14ac:dyDescent="0.2"/>
  <cols>
    <col min="1" max="1" width="5.6640625" bestFit="1" customWidth="1"/>
    <col min="2" max="2" width="19.5" bestFit="1" customWidth="1"/>
    <col min="3" max="3" width="8.6640625" bestFit="1" customWidth="1"/>
    <col min="4" max="4" width="11" bestFit="1" customWidth="1"/>
    <col min="5" max="5" width="9.1640625" bestFit="1" customWidth="1"/>
    <col min="6" max="6" width="10.1640625" bestFit="1" customWidth="1"/>
    <col min="7" max="7" width="35.83203125" bestFit="1" customWidth="1"/>
    <col min="8" max="8" width="30.1640625" bestFit="1" customWidth="1"/>
    <col min="9" max="9" width="10" bestFit="1" customWidth="1"/>
    <col min="10" max="10" width="21.5" bestFit="1" customWidth="1"/>
    <col min="11" max="11" width="7.33203125" bestFit="1" customWidth="1"/>
    <col min="12" max="12" width="7" bestFit="1" customWidth="1"/>
    <col min="13" max="13" width="14" bestFit="1" customWidth="1"/>
    <col min="14" max="14" width="47.1640625" bestFit="1" customWidth="1"/>
    <col min="15" max="15" width="33.1640625" bestFit="1" customWidth="1"/>
    <col min="16" max="16" width="15.1640625" bestFit="1" customWidth="1"/>
    <col min="17" max="17" width="14.83203125" bestFit="1" customWidth="1"/>
    <col min="18" max="18" width="15.83203125" bestFit="1" customWidth="1"/>
    <col min="19" max="19" width="13.6640625" bestFit="1" customWidth="1"/>
    <col min="20" max="20" width="17.83203125" bestFit="1" customWidth="1"/>
    <col min="21" max="21" width="13.6640625" bestFit="1" customWidth="1"/>
    <col min="22" max="22" width="10.83203125" bestFit="1" customWidth="1"/>
    <col min="23" max="23" width="14.6640625" bestFit="1" customWidth="1"/>
    <col min="24" max="24" width="17.83203125" bestFit="1" customWidth="1"/>
    <col min="25" max="25" width="17.1640625" bestFit="1" customWidth="1"/>
    <col min="26" max="26" width="11.5" bestFit="1" customWidth="1"/>
    <col min="27" max="27" width="6.6640625" bestFit="1" customWidth="1"/>
    <col min="28" max="28" width="16.6640625" bestFit="1" customWidth="1"/>
    <col min="29" max="29" width="21.33203125" bestFit="1" customWidth="1"/>
    <col min="30" max="30" width="28.33203125" bestFit="1" customWidth="1"/>
    <col min="31" max="31" width="6.83203125" bestFit="1" customWidth="1"/>
    <col min="32" max="32" width="39.6640625" bestFit="1" customWidth="1"/>
    <col min="33" max="33" width="32.5" bestFit="1" customWidth="1"/>
    <col min="34" max="34" width="18.83203125" bestFit="1" customWidth="1"/>
    <col min="35" max="35" width="20.1640625" bestFit="1" customWidth="1"/>
    <col min="36" max="36" width="14.6640625" bestFit="1" customWidth="1"/>
    <col min="37" max="37" width="14.6640625" customWidth="1"/>
    <col min="38" max="38" width="14.6640625" bestFit="1" customWidth="1"/>
    <col min="39" max="39" width="14.6640625" customWidth="1"/>
    <col min="40" max="40" width="14.6640625" bestFit="1" customWidth="1"/>
    <col min="41" max="41" width="14.6640625" customWidth="1"/>
    <col min="42" max="42" width="14.6640625" bestFit="1" customWidth="1"/>
    <col min="43" max="43" width="14.6640625" customWidth="1"/>
    <col min="44" max="44" width="15" customWidth="1"/>
    <col min="45" max="45" width="16.1640625" customWidth="1"/>
    <col min="46" max="46" width="15.83203125" customWidth="1"/>
    <col min="47" max="47" width="20" customWidth="1"/>
    <col min="48" max="48" width="17.6640625" customWidth="1"/>
    <col min="49" max="49" width="14.6640625" customWidth="1"/>
    <col min="50" max="50" width="20.1640625" customWidth="1"/>
    <col min="51" max="53" width="14.6640625" customWidth="1"/>
    <col min="54" max="54" width="21.83203125" customWidth="1"/>
  </cols>
  <sheetData>
    <row r="1" spans="1:54" x14ac:dyDescent="0.2">
      <c r="AJ1" s="31" t="s">
        <v>0</v>
      </c>
      <c r="AK1" s="32"/>
      <c r="AL1" s="31" t="s">
        <v>1</v>
      </c>
      <c r="AM1" s="32"/>
      <c r="AN1" s="31" t="s">
        <v>2</v>
      </c>
      <c r="AO1" s="32"/>
      <c r="AP1" s="31" t="s">
        <v>3</v>
      </c>
      <c r="AQ1" s="32"/>
      <c r="AR1" t="s">
        <v>4</v>
      </c>
      <c r="AS1" s="31" t="s">
        <v>5</v>
      </c>
      <c r="AT1" s="32"/>
      <c r="AU1" s="19"/>
      <c r="AV1" s="19"/>
      <c r="AW1" s="19"/>
      <c r="AY1" s="19"/>
      <c r="AZ1" s="19"/>
    </row>
    <row r="2" spans="1:54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42</v>
      </c>
      <c r="AN2" s="1" t="s">
        <v>44</v>
      </c>
      <c r="AO2" s="1" t="s">
        <v>42</v>
      </c>
      <c r="AP2" s="1" t="s">
        <v>45</v>
      </c>
      <c r="AQ2" s="1" t="s">
        <v>42</v>
      </c>
      <c r="AR2" s="1" t="s">
        <v>4</v>
      </c>
      <c r="AS2" s="1" t="s">
        <v>46</v>
      </c>
      <c r="AT2" s="1" t="s">
        <v>47</v>
      </c>
      <c r="AU2" s="1" t="s">
        <v>48</v>
      </c>
      <c r="AV2" s="1" t="s">
        <v>49</v>
      </c>
      <c r="AW2" s="28" t="s">
        <v>50</v>
      </c>
      <c r="AX2" s="27" t="s">
        <v>51</v>
      </c>
      <c r="AY2" s="20" t="s">
        <v>52</v>
      </c>
      <c r="AZ2" s="21" t="s">
        <v>53</v>
      </c>
      <c r="BA2" s="22" t="s">
        <v>54</v>
      </c>
      <c r="BB2" s="23" t="s">
        <v>55</v>
      </c>
    </row>
    <row r="3" spans="1:54" x14ac:dyDescent="0.2">
      <c r="A3" s="2">
        <v>1</v>
      </c>
      <c r="B3" s="2" t="s">
        <v>56</v>
      </c>
      <c r="C3" s="3">
        <v>46076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4"/>
      <c r="L3" s="4" t="s">
        <v>64</v>
      </c>
      <c r="M3" s="4">
        <v>9987575449</v>
      </c>
      <c r="N3" s="4" t="s">
        <v>65</v>
      </c>
      <c r="O3" s="4" t="s">
        <v>66</v>
      </c>
      <c r="P3" s="4" t="s">
        <v>67</v>
      </c>
      <c r="Q3" s="4" t="s">
        <v>68</v>
      </c>
      <c r="R3" s="4" t="s">
        <v>69</v>
      </c>
      <c r="S3" s="4" t="s">
        <v>70</v>
      </c>
      <c r="T3" s="4">
        <v>120000</v>
      </c>
      <c r="U3" s="4">
        <v>53750</v>
      </c>
      <c r="V3" s="4" t="s">
        <v>71</v>
      </c>
      <c r="W3" s="4">
        <v>12000</v>
      </c>
      <c r="X3" s="4">
        <v>240000</v>
      </c>
      <c r="Y3" s="5">
        <v>46100</v>
      </c>
      <c r="Z3" s="5">
        <v>46147</v>
      </c>
      <c r="AA3" s="6">
        <v>24</v>
      </c>
      <c r="AB3" s="4">
        <v>17.09</v>
      </c>
      <c r="AC3" s="6">
        <v>29.99</v>
      </c>
      <c r="AD3" s="4">
        <v>173750</v>
      </c>
      <c r="AE3" s="7">
        <v>0.69064748201438853</v>
      </c>
      <c r="AF3" s="2" t="s">
        <v>72</v>
      </c>
      <c r="AG3" s="2" t="s">
        <v>73</v>
      </c>
      <c r="AH3" s="17" t="s">
        <v>74</v>
      </c>
      <c r="AI3" s="17" t="s">
        <v>75</v>
      </c>
      <c r="AJ3" s="18">
        <v>234.82</v>
      </c>
      <c r="AK3" s="18">
        <f>AJ3*12.25</f>
        <v>2876.5450000000001</v>
      </c>
      <c r="AL3" s="18">
        <v>105.04</v>
      </c>
      <c r="AM3" s="18">
        <f>AL3*12.25</f>
        <v>1286.74</v>
      </c>
      <c r="AN3" s="18">
        <v>165.34</v>
      </c>
      <c r="AO3" s="18">
        <f>AN3*12.5</f>
        <v>2066.75</v>
      </c>
      <c r="AP3" s="18">
        <v>105.86</v>
      </c>
      <c r="AQ3" s="18">
        <f>AP3*12.5</f>
        <v>1323.25</v>
      </c>
      <c r="AR3" s="18">
        <f t="shared" ref="AR3:AR32" si="0">AQ3+AO3+AM3+AK3</f>
        <v>7553.2849999999999</v>
      </c>
      <c r="AS3" s="18">
        <v>114.35</v>
      </c>
      <c r="AT3" s="18">
        <f>AS3*12.5</f>
        <v>1429.375</v>
      </c>
      <c r="AU3" s="18">
        <f t="shared" ref="AU3:AU32" si="1">AT3*4</f>
        <v>5717.5</v>
      </c>
      <c r="AV3" s="18">
        <v>6709</v>
      </c>
      <c r="AW3" s="29">
        <f t="shared" ref="AW3:AW33" si="2">IF(AU3&gt;0,ROUND((AV3/AU3)*100,2),"")</f>
        <v>117.34</v>
      </c>
      <c r="AX3" s="30" t="str">
        <f t="shared" ref="AX3:AX33" si="3">IF(AW3&lt;=50,"Low Risk",IF(AW3&lt;=75,"Medium Risk",IF(AW3&lt;=90,"High Risk","Expected Default")))</f>
        <v>Expected Default</v>
      </c>
      <c r="AY3" s="18" t="str">
        <f t="shared" ref="AY3:AY33" si="4">IF(AW3&lt;=50,"YES","")</f>
        <v/>
      </c>
      <c r="AZ3" s="18" t="str">
        <f t="shared" ref="AZ3:AZ33" si="5">IF(AND(AW3&gt;50,AW3&lt;=75),"YES","")</f>
        <v/>
      </c>
      <c r="BA3" s="18" t="str">
        <f t="shared" ref="BA3:BA33" si="6">IF(AND(AW3&gt;75,AW3&lt;=90),"YES","")</f>
        <v/>
      </c>
      <c r="BB3" s="18" t="str">
        <f t="shared" ref="BB3:BB33" si="7">IF(AW3&gt;90,"YES","")</f>
        <v>YES</v>
      </c>
    </row>
    <row r="4" spans="1:54" x14ac:dyDescent="0.2">
      <c r="A4" s="2">
        <v>2</v>
      </c>
      <c r="B4" s="2" t="s">
        <v>76</v>
      </c>
      <c r="C4" s="3">
        <v>46083</v>
      </c>
      <c r="D4" s="2" t="s">
        <v>77</v>
      </c>
      <c r="E4" s="2" t="s">
        <v>58</v>
      </c>
      <c r="F4" s="2" t="s">
        <v>78</v>
      </c>
      <c r="G4" s="2" t="s">
        <v>79</v>
      </c>
      <c r="H4" s="2" t="s">
        <v>61</v>
      </c>
      <c r="I4" s="2" t="s">
        <v>62</v>
      </c>
      <c r="J4" s="2" t="s">
        <v>63</v>
      </c>
      <c r="K4" s="4"/>
      <c r="L4" s="4" t="s">
        <v>64</v>
      </c>
      <c r="M4" s="4">
        <v>8235821474</v>
      </c>
      <c r="N4" s="4" t="s">
        <v>80</v>
      </c>
      <c r="O4" s="4" t="s">
        <v>81</v>
      </c>
      <c r="P4" s="4" t="s">
        <v>67</v>
      </c>
      <c r="Q4" s="4" t="s">
        <v>68</v>
      </c>
      <c r="R4" s="4" t="s">
        <v>82</v>
      </c>
      <c r="S4" s="4" t="s">
        <v>70</v>
      </c>
      <c r="T4" s="4">
        <v>150000</v>
      </c>
      <c r="U4" s="4">
        <v>23750</v>
      </c>
      <c r="V4" s="4">
        <v>743</v>
      </c>
      <c r="W4" s="4">
        <v>10000</v>
      </c>
      <c r="X4" s="4">
        <v>200000</v>
      </c>
      <c r="Y4" s="5">
        <v>46127</v>
      </c>
      <c r="Z4" s="5">
        <v>46147</v>
      </c>
      <c r="AA4" s="6">
        <v>24</v>
      </c>
      <c r="AB4" s="4">
        <v>17.09</v>
      </c>
      <c r="AC4" s="6">
        <v>29.99</v>
      </c>
      <c r="AD4" s="4">
        <v>173750</v>
      </c>
      <c r="AE4" s="8">
        <v>0.86330935251798557</v>
      </c>
      <c r="AF4" s="4" t="s">
        <v>83</v>
      </c>
      <c r="AG4" s="4" t="s">
        <v>83</v>
      </c>
      <c r="AH4" s="17" t="s">
        <v>84</v>
      </c>
      <c r="AI4" s="17" t="s">
        <v>85</v>
      </c>
      <c r="AJ4" s="18">
        <v>12.74</v>
      </c>
      <c r="AK4" s="18">
        <f>AJ4*12.25</f>
        <v>156.065</v>
      </c>
      <c r="AL4" s="18">
        <v>0</v>
      </c>
      <c r="AM4" s="18">
        <f>AL4*12.25</f>
        <v>0</v>
      </c>
      <c r="AN4" s="18">
        <v>0</v>
      </c>
      <c r="AO4" s="18">
        <f>AN4*12.5</f>
        <v>0</v>
      </c>
      <c r="AP4" s="18">
        <v>0</v>
      </c>
      <c r="AQ4" s="18">
        <f>AP4*12.5</f>
        <v>0</v>
      </c>
      <c r="AR4" s="18">
        <f t="shared" si="0"/>
        <v>156.065</v>
      </c>
      <c r="AS4" s="18">
        <v>15.06</v>
      </c>
      <c r="AT4" s="18">
        <f>AS4*12.5</f>
        <v>188.25</v>
      </c>
      <c r="AU4" s="18">
        <f t="shared" si="1"/>
        <v>753</v>
      </c>
      <c r="AV4" s="18">
        <v>8386</v>
      </c>
      <c r="AW4" s="29">
        <f t="shared" si="2"/>
        <v>1113.68</v>
      </c>
      <c r="AX4" s="30" t="str">
        <f t="shared" si="3"/>
        <v>Expected Default</v>
      </c>
      <c r="AY4" s="18" t="str">
        <f t="shared" si="4"/>
        <v/>
      </c>
      <c r="AZ4" s="18" t="str">
        <f t="shared" si="5"/>
        <v/>
      </c>
      <c r="BA4" s="18" t="str">
        <f t="shared" si="6"/>
        <v/>
      </c>
      <c r="BB4" s="18" t="str">
        <f t="shared" si="7"/>
        <v>YES</v>
      </c>
    </row>
    <row r="5" spans="1:54" x14ac:dyDescent="0.2">
      <c r="A5" s="2">
        <v>3</v>
      </c>
      <c r="B5" s="2" t="s">
        <v>86</v>
      </c>
      <c r="C5" s="3">
        <v>46097</v>
      </c>
      <c r="D5" s="2" t="s">
        <v>87</v>
      </c>
      <c r="E5" s="2" t="s">
        <v>58</v>
      </c>
      <c r="F5" s="2" t="s">
        <v>88</v>
      </c>
      <c r="G5" s="2" t="s">
        <v>89</v>
      </c>
      <c r="H5" s="2" t="s">
        <v>90</v>
      </c>
      <c r="I5" s="2" t="s">
        <v>62</v>
      </c>
      <c r="J5" s="2" t="s">
        <v>63</v>
      </c>
      <c r="K5" s="4"/>
      <c r="L5" s="4" t="s">
        <v>64</v>
      </c>
      <c r="M5" s="4">
        <v>6265806674</v>
      </c>
      <c r="N5" s="4" t="s">
        <v>91</v>
      </c>
      <c r="O5" s="4" t="s">
        <v>92</v>
      </c>
      <c r="P5" s="4" t="s">
        <v>93</v>
      </c>
      <c r="Q5" s="4" t="s">
        <v>68</v>
      </c>
      <c r="R5" s="4" t="s">
        <v>82</v>
      </c>
      <c r="S5" s="4" t="s">
        <v>70</v>
      </c>
      <c r="T5" s="4">
        <v>175000</v>
      </c>
      <c r="U5" s="4">
        <v>25000</v>
      </c>
      <c r="V5" s="4">
        <v>772</v>
      </c>
      <c r="W5" s="4">
        <v>10000</v>
      </c>
      <c r="X5" s="4">
        <v>120000</v>
      </c>
      <c r="Y5" s="5">
        <v>46105</v>
      </c>
      <c r="Z5" s="5">
        <v>46147</v>
      </c>
      <c r="AA5" s="6">
        <v>30</v>
      </c>
      <c r="AB5" s="4">
        <v>17.09</v>
      </c>
      <c r="AC5" s="6">
        <v>29.62</v>
      </c>
      <c r="AD5" s="4">
        <v>200000</v>
      </c>
      <c r="AE5" s="8">
        <v>0.875</v>
      </c>
      <c r="AF5" s="4" t="s">
        <v>83</v>
      </c>
      <c r="AG5" s="4" t="s">
        <v>83</v>
      </c>
      <c r="AH5" s="17" t="s">
        <v>74</v>
      </c>
      <c r="AI5" s="17" t="s">
        <v>94</v>
      </c>
      <c r="AJ5" s="18">
        <v>308.76</v>
      </c>
      <c r="AK5" s="18">
        <f>AJ5*12</f>
        <v>3705.12</v>
      </c>
      <c r="AL5" s="18">
        <v>308.27999999999997</v>
      </c>
      <c r="AM5" s="18">
        <f>AL5*12</f>
        <v>3699.3599999999997</v>
      </c>
      <c r="AN5" s="18">
        <v>252.4</v>
      </c>
      <c r="AO5" s="18">
        <f>AN5*12</f>
        <v>3028.8</v>
      </c>
      <c r="AP5" s="18">
        <v>164.34</v>
      </c>
      <c r="AQ5" s="18">
        <f>AP5*12</f>
        <v>1972.08</v>
      </c>
      <c r="AR5" s="18">
        <f t="shared" si="0"/>
        <v>12405.36</v>
      </c>
      <c r="AS5" s="18">
        <v>310.11</v>
      </c>
      <c r="AT5" s="18">
        <f>AS5*12</f>
        <v>3721.32</v>
      </c>
      <c r="AU5" s="18">
        <f t="shared" si="1"/>
        <v>14885.28</v>
      </c>
      <c r="AV5" s="18">
        <v>8326</v>
      </c>
      <c r="AW5" s="29">
        <f t="shared" si="2"/>
        <v>55.93</v>
      </c>
      <c r="AX5" s="30" t="str">
        <f t="shared" si="3"/>
        <v>Medium Risk</v>
      </c>
      <c r="AY5" s="18" t="str">
        <f t="shared" si="4"/>
        <v/>
      </c>
      <c r="AZ5" s="18" t="str">
        <f t="shared" si="5"/>
        <v>YES</v>
      </c>
      <c r="BA5" s="18" t="str">
        <f t="shared" si="6"/>
        <v/>
      </c>
      <c r="BB5" s="18" t="str">
        <f t="shared" si="7"/>
        <v/>
      </c>
    </row>
    <row r="6" spans="1:54" x14ac:dyDescent="0.2">
      <c r="A6" s="2">
        <v>4</v>
      </c>
      <c r="B6" s="2" t="s">
        <v>95</v>
      </c>
      <c r="C6" s="9">
        <v>46104</v>
      </c>
      <c r="D6" s="2" t="s">
        <v>96</v>
      </c>
      <c r="E6" s="2" t="s">
        <v>58</v>
      </c>
      <c r="F6" s="2" t="s">
        <v>88</v>
      </c>
      <c r="G6" s="2" t="s">
        <v>89</v>
      </c>
      <c r="H6" s="2" t="s">
        <v>90</v>
      </c>
      <c r="I6" s="2" t="s">
        <v>62</v>
      </c>
      <c r="J6" s="2" t="s">
        <v>63</v>
      </c>
      <c r="K6" s="4"/>
      <c r="L6" s="4" t="s">
        <v>64</v>
      </c>
      <c r="M6" s="4">
        <v>6261358564</v>
      </c>
      <c r="N6" s="4" t="s">
        <v>97</v>
      </c>
      <c r="O6" s="4" t="s">
        <v>98</v>
      </c>
      <c r="P6" s="4" t="s">
        <v>93</v>
      </c>
      <c r="Q6" s="4" t="s">
        <v>68</v>
      </c>
      <c r="R6" s="4" t="s">
        <v>82</v>
      </c>
      <c r="S6" s="4" t="s">
        <v>70</v>
      </c>
      <c r="T6" s="4">
        <v>175000</v>
      </c>
      <c r="U6" s="4">
        <v>25000</v>
      </c>
      <c r="V6" s="4" t="s">
        <v>71</v>
      </c>
      <c r="W6" s="4">
        <v>12000</v>
      </c>
      <c r="X6" s="4">
        <v>300000</v>
      </c>
      <c r="Y6" s="5">
        <v>46150</v>
      </c>
      <c r="Z6" s="5">
        <v>46178</v>
      </c>
      <c r="AA6" s="6">
        <v>30</v>
      </c>
      <c r="AB6" s="4">
        <v>17.09</v>
      </c>
      <c r="AC6" s="6">
        <v>29.62</v>
      </c>
      <c r="AD6" s="4">
        <v>200000</v>
      </c>
      <c r="AE6" s="8">
        <v>0.875</v>
      </c>
      <c r="AF6" s="4" t="s">
        <v>83</v>
      </c>
      <c r="AG6" s="4" t="s">
        <v>83</v>
      </c>
      <c r="AH6" s="17" t="s">
        <v>99</v>
      </c>
      <c r="AI6" s="17" t="s">
        <v>100</v>
      </c>
      <c r="AJ6" s="18">
        <v>134.5</v>
      </c>
      <c r="AK6" s="18">
        <f>AJ6*12</f>
        <v>1614</v>
      </c>
      <c r="AL6" s="18">
        <v>44.33</v>
      </c>
      <c r="AM6" s="18">
        <f>AL6*12</f>
        <v>531.96</v>
      </c>
      <c r="AN6" s="18">
        <v>54.91</v>
      </c>
      <c r="AO6" s="18">
        <f>AN6*12</f>
        <v>658.92</v>
      </c>
      <c r="AP6" s="18">
        <v>147.13</v>
      </c>
      <c r="AQ6" s="18">
        <f>AP6*12</f>
        <v>1765.56</v>
      </c>
      <c r="AR6" s="18">
        <f t="shared" si="0"/>
        <v>4570.4400000000005</v>
      </c>
      <c r="AS6" s="18">
        <v>155.54</v>
      </c>
      <c r="AT6" s="18">
        <f>AS6*12</f>
        <v>1866.48</v>
      </c>
      <c r="AU6" s="18">
        <f t="shared" si="1"/>
        <v>7465.92</v>
      </c>
      <c r="AV6" s="18">
        <v>8326</v>
      </c>
      <c r="AW6" s="29">
        <f t="shared" si="2"/>
        <v>111.52</v>
      </c>
      <c r="AX6" s="30" t="str">
        <f t="shared" si="3"/>
        <v>Expected Default</v>
      </c>
      <c r="AY6" s="18" t="str">
        <f t="shared" si="4"/>
        <v/>
      </c>
      <c r="AZ6" s="18" t="str">
        <f t="shared" si="5"/>
        <v/>
      </c>
      <c r="BA6" s="18" t="str">
        <f t="shared" si="6"/>
        <v/>
      </c>
      <c r="BB6" s="18" t="str">
        <f t="shared" si="7"/>
        <v>YES</v>
      </c>
    </row>
    <row r="7" spans="1:54" x14ac:dyDescent="0.2">
      <c r="A7" s="2">
        <v>5</v>
      </c>
      <c r="B7" s="2" t="s">
        <v>101</v>
      </c>
      <c r="C7" s="9">
        <v>46105</v>
      </c>
      <c r="D7" s="2" t="s">
        <v>102</v>
      </c>
      <c r="E7" s="2" t="s">
        <v>58</v>
      </c>
      <c r="F7" s="2" t="s">
        <v>103</v>
      </c>
      <c r="G7" s="2" t="s">
        <v>104</v>
      </c>
      <c r="H7" s="2" t="s">
        <v>61</v>
      </c>
      <c r="I7" s="2" t="s">
        <v>105</v>
      </c>
      <c r="J7" s="2" t="s">
        <v>106</v>
      </c>
      <c r="K7" s="4"/>
      <c r="L7" s="4" t="s">
        <v>64</v>
      </c>
      <c r="M7" s="4">
        <v>9234980710</v>
      </c>
      <c r="N7" s="4" t="s">
        <v>107</v>
      </c>
      <c r="O7" s="4" t="s">
        <v>108</v>
      </c>
      <c r="P7" s="4" t="s">
        <v>67</v>
      </c>
      <c r="Q7" s="4" t="s">
        <v>68</v>
      </c>
      <c r="R7" s="4" t="s">
        <v>82</v>
      </c>
      <c r="S7" s="4" t="s">
        <v>70</v>
      </c>
      <c r="T7" s="4">
        <v>150000</v>
      </c>
      <c r="U7" s="4">
        <v>23750</v>
      </c>
      <c r="V7" s="4">
        <v>719</v>
      </c>
      <c r="W7" s="4">
        <v>12000</v>
      </c>
      <c r="X7" s="4">
        <v>200000</v>
      </c>
      <c r="Y7" s="5">
        <v>46135</v>
      </c>
      <c r="Z7" s="5">
        <v>46157</v>
      </c>
      <c r="AA7" s="6">
        <v>24</v>
      </c>
      <c r="AB7" s="4">
        <v>17.09</v>
      </c>
      <c r="AC7" s="6">
        <v>29.99</v>
      </c>
      <c r="AD7" s="4">
        <v>173750</v>
      </c>
      <c r="AE7" s="8">
        <v>0.86330935251798557</v>
      </c>
      <c r="AF7" s="4" t="s">
        <v>83</v>
      </c>
      <c r="AG7" s="4" t="s">
        <v>83</v>
      </c>
      <c r="AH7" s="17" t="s">
        <v>84</v>
      </c>
      <c r="AI7" s="17" t="s">
        <v>109</v>
      </c>
      <c r="AJ7" s="18">
        <v>1102.9000000000001</v>
      </c>
      <c r="AK7" s="18">
        <f>AJ7*12.25</f>
        <v>13510.525000000001</v>
      </c>
      <c r="AL7" s="18">
        <v>698.8599999999999</v>
      </c>
      <c r="AM7" s="18">
        <f>AL7*12.25</f>
        <v>8561.034999999998</v>
      </c>
      <c r="AN7" s="18">
        <v>664.19999999999993</v>
      </c>
      <c r="AO7" s="18">
        <f>AN7*12.5</f>
        <v>8302.5</v>
      </c>
      <c r="AP7" s="18">
        <v>574.52</v>
      </c>
      <c r="AQ7" s="18">
        <f>AP7*12.5</f>
        <v>7181.5</v>
      </c>
      <c r="AR7" s="18">
        <f t="shared" si="0"/>
        <v>37555.56</v>
      </c>
      <c r="AS7" s="18">
        <v>702.33</v>
      </c>
      <c r="AT7" s="18">
        <f>AS7*12.5</f>
        <v>8779.125</v>
      </c>
      <c r="AU7" s="18">
        <f t="shared" si="1"/>
        <v>35116.5</v>
      </c>
      <c r="AV7" s="18">
        <v>8386</v>
      </c>
      <c r="AW7" s="29">
        <f t="shared" si="2"/>
        <v>23.88</v>
      </c>
      <c r="AX7" s="30" t="str">
        <f t="shared" si="3"/>
        <v>Low Risk</v>
      </c>
      <c r="AY7" s="18" t="str">
        <f t="shared" si="4"/>
        <v>YES</v>
      </c>
      <c r="AZ7" s="18" t="str">
        <f t="shared" si="5"/>
        <v/>
      </c>
      <c r="BA7" s="18" t="str">
        <f t="shared" si="6"/>
        <v/>
      </c>
      <c r="BB7" s="18" t="str">
        <f t="shared" si="7"/>
        <v/>
      </c>
    </row>
    <row r="8" spans="1:54" x14ac:dyDescent="0.2">
      <c r="A8" s="2">
        <v>6</v>
      </c>
      <c r="B8" s="10" t="s">
        <v>110</v>
      </c>
      <c r="C8" s="9">
        <v>46109</v>
      </c>
      <c r="D8" s="10" t="s">
        <v>111</v>
      </c>
      <c r="E8" s="10" t="s">
        <v>58</v>
      </c>
      <c r="F8" s="10" t="s">
        <v>112</v>
      </c>
      <c r="G8" s="10" t="s">
        <v>113</v>
      </c>
      <c r="H8" s="10" t="s">
        <v>114</v>
      </c>
      <c r="I8" s="10" t="s">
        <v>62</v>
      </c>
      <c r="J8" s="10" t="s">
        <v>115</v>
      </c>
      <c r="K8" s="11"/>
      <c r="L8" s="11" t="s">
        <v>64</v>
      </c>
      <c r="M8" s="11">
        <v>7739832758</v>
      </c>
      <c r="N8" s="11" t="s">
        <v>116</v>
      </c>
      <c r="O8" s="11" t="s">
        <v>117</v>
      </c>
      <c r="P8" s="11" t="s">
        <v>67</v>
      </c>
      <c r="Q8" s="11" t="s">
        <v>68</v>
      </c>
      <c r="R8" s="11" t="s">
        <v>82</v>
      </c>
      <c r="S8" s="11" t="s">
        <v>70</v>
      </c>
      <c r="T8" s="11">
        <v>140000</v>
      </c>
      <c r="U8" s="11">
        <v>24650</v>
      </c>
      <c r="V8" s="11" t="s">
        <v>71</v>
      </c>
      <c r="W8" s="11">
        <v>10000</v>
      </c>
      <c r="X8" s="11">
        <v>560000</v>
      </c>
      <c r="Y8" s="12">
        <v>46142</v>
      </c>
      <c r="Z8" s="12">
        <v>46157</v>
      </c>
      <c r="AA8" s="13">
        <v>24</v>
      </c>
      <c r="AB8" s="11">
        <v>17.09</v>
      </c>
      <c r="AC8" s="13">
        <v>29.99</v>
      </c>
      <c r="AD8" s="11">
        <v>164650</v>
      </c>
      <c r="AE8" s="14">
        <v>0.85028849073792889</v>
      </c>
      <c r="AF8" s="11" t="s">
        <v>83</v>
      </c>
      <c r="AG8" s="11" t="s">
        <v>83</v>
      </c>
      <c r="AH8" s="17" t="s">
        <v>84</v>
      </c>
      <c r="AI8" s="17" t="s">
        <v>118</v>
      </c>
      <c r="AJ8" s="18">
        <v>0</v>
      </c>
      <c r="AK8" s="18">
        <f>AJ8*12.25</f>
        <v>0</v>
      </c>
      <c r="AL8" s="18">
        <v>90.64</v>
      </c>
      <c r="AM8" s="18">
        <f>AL8*12.25</f>
        <v>1110.3399999999999</v>
      </c>
      <c r="AN8" s="18">
        <v>525.07999999999993</v>
      </c>
      <c r="AO8" s="18">
        <f>AN8*12.5</f>
        <v>6563.4999999999991</v>
      </c>
      <c r="AP8" s="18">
        <v>393.31999999999988</v>
      </c>
      <c r="AQ8" s="18">
        <f>AP8*12.5</f>
        <v>4916.4999999999982</v>
      </c>
      <c r="AR8" s="18">
        <f t="shared" si="0"/>
        <v>12590.339999999997</v>
      </c>
      <c r="AS8" s="18">
        <v>755.7700000000001</v>
      </c>
      <c r="AT8" s="18">
        <f>AS8*12.5</f>
        <v>9447.1250000000018</v>
      </c>
      <c r="AU8" s="18">
        <f t="shared" si="1"/>
        <v>37788.500000000007</v>
      </c>
      <c r="AV8" s="18">
        <v>7827</v>
      </c>
      <c r="AW8" s="29">
        <f t="shared" si="2"/>
        <v>20.71</v>
      </c>
      <c r="AX8" s="30" t="str">
        <f t="shared" si="3"/>
        <v>Low Risk</v>
      </c>
      <c r="AY8" s="18" t="str">
        <f t="shared" si="4"/>
        <v>YES</v>
      </c>
      <c r="AZ8" s="18" t="str">
        <f t="shared" si="5"/>
        <v/>
      </c>
      <c r="BA8" s="18" t="str">
        <f t="shared" si="6"/>
        <v/>
      </c>
      <c r="BB8" s="18" t="str">
        <f t="shared" si="7"/>
        <v/>
      </c>
    </row>
    <row r="9" spans="1:54" x14ac:dyDescent="0.2">
      <c r="A9" s="2">
        <v>7</v>
      </c>
      <c r="B9" s="2" t="s">
        <v>119</v>
      </c>
      <c r="C9" s="9">
        <v>46116</v>
      </c>
      <c r="D9" s="2" t="s">
        <v>120</v>
      </c>
      <c r="E9" s="2" t="s">
        <v>58</v>
      </c>
      <c r="F9" s="2" t="s">
        <v>121</v>
      </c>
      <c r="G9" s="2" t="s">
        <v>122</v>
      </c>
      <c r="H9" s="2" t="s">
        <v>114</v>
      </c>
      <c r="I9" s="2" t="s">
        <v>105</v>
      </c>
      <c r="J9" s="2" t="s">
        <v>106</v>
      </c>
      <c r="K9" s="4"/>
      <c r="L9" s="4" t="s">
        <v>64</v>
      </c>
      <c r="M9" s="4">
        <v>9889204304</v>
      </c>
      <c r="N9" s="4" t="s">
        <v>123</v>
      </c>
      <c r="O9" s="4" t="s">
        <v>124</v>
      </c>
      <c r="P9" s="4" t="s">
        <v>125</v>
      </c>
      <c r="Q9" s="4" t="s">
        <v>68</v>
      </c>
      <c r="R9" s="4" t="s">
        <v>126</v>
      </c>
      <c r="S9" s="4" t="s">
        <v>70</v>
      </c>
      <c r="T9" s="4">
        <v>140000</v>
      </c>
      <c r="U9" s="4">
        <v>24650</v>
      </c>
      <c r="V9" s="4">
        <v>796</v>
      </c>
      <c r="W9" s="4">
        <v>5500</v>
      </c>
      <c r="X9" s="4">
        <v>65000</v>
      </c>
      <c r="Y9" s="5">
        <v>46136</v>
      </c>
      <c r="Z9" s="5">
        <v>46157</v>
      </c>
      <c r="AA9" s="6">
        <v>24</v>
      </c>
      <c r="AB9" s="4">
        <v>17.09</v>
      </c>
      <c r="AC9" s="6">
        <v>29.99</v>
      </c>
      <c r="AD9" s="4">
        <v>164650</v>
      </c>
      <c r="AE9" s="8">
        <v>0.85028849073792889</v>
      </c>
      <c r="AF9" s="4" t="s">
        <v>83</v>
      </c>
      <c r="AG9" s="4" t="s">
        <v>83</v>
      </c>
      <c r="AH9" s="17" t="s">
        <v>84</v>
      </c>
      <c r="AI9" s="17" t="s">
        <v>127</v>
      </c>
      <c r="AJ9" s="18">
        <v>171.26</v>
      </c>
      <c r="AK9" s="18">
        <f>AJ9*12</f>
        <v>2055.12</v>
      </c>
      <c r="AL9" s="18">
        <v>701.97</v>
      </c>
      <c r="AM9" s="18">
        <f>AL9*12</f>
        <v>8423.64</v>
      </c>
      <c r="AN9" s="18">
        <v>656.86</v>
      </c>
      <c r="AO9" s="18">
        <f>AN9*12</f>
        <v>7882.32</v>
      </c>
      <c r="AP9" s="18">
        <v>539.13</v>
      </c>
      <c r="AQ9" s="18">
        <f>AP9*12</f>
        <v>6469.5599999999995</v>
      </c>
      <c r="AR9" s="18">
        <f t="shared" si="0"/>
        <v>24830.639999999996</v>
      </c>
      <c r="AS9" s="18">
        <v>754.67999999999984</v>
      </c>
      <c r="AT9" s="18">
        <f>AS9*12</f>
        <v>9056.159999999998</v>
      </c>
      <c r="AU9" s="18">
        <f t="shared" si="1"/>
        <v>36224.639999999992</v>
      </c>
      <c r="AV9" s="18">
        <v>7827</v>
      </c>
      <c r="AW9" s="29">
        <f t="shared" si="2"/>
        <v>21.61</v>
      </c>
      <c r="AX9" s="30" t="str">
        <f t="shared" si="3"/>
        <v>Low Risk</v>
      </c>
      <c r="AY9" s="18" t="str">
        <f t="shared" si="4"/>
        <v>YES</v>
      </c>
      <c r="AZ9" s="18" t="str">
        <f t="shared" si="5"/>
        <v/>
      </c>
      <c r="BA9" s="18" t="str">
        <f t="shared" si="6"/>
        <v/>
      </c>
      <c r="BB9" s="18" t="str">
        <f t="shared" si="7"/>
        <v/>
      </c>
    </row>
    <row r="10" spans="1:54" x14ac:dyDescent="0.2">
      <c r="A10" s="2">
        <v>8</v>
      </c>
      <c r="B10" s="2" t="s">
        <v>128</v>
      </c>
      <c r="C10" s="9">
        <v>46116</v>
      </c>
      <c r="D10" s="2" t="s">
        <v>129</v>
      </c>
      <c r="E10" s="2" t="s">
        <v>58</v>
      </c>
      <c r="F10" s="2" t="s">
        <v>130</v>
      </c>
      <c r="G10" s="2" t="s">
        <v>131</v>
      </c>
      <c r="H10" s="2" t="s">
        <v>90</v>
      </c>
      <c r="I10" s="2" t="s">
        <v>62</v>
      </c>
      <c r="J10" s="2" t="s">
        <v>63</v>
      </c>
      <c r="K10" s="4"/>
      <c r="L10" s="4" t="s">
        <v>64</v>
      </c>
      <c r="M10" s="4">
        <v>9229058979</v>
      </c>
      <c r="N10" s="4" t="s">
        <v>132</v>
      </c>
      <c r="O10" s="4" t="s">
        <v>133</v>
      </c>
      <c r="P10" s="4" t="s">
        <v>67</v>
      </c>
      <c r="Q10" s="4" t="s">
        <v>68</v>
      </c>
      <c r="R10" s="4" t="s">
        <v>82</v>
      </c>
      <c r="S10" s="4" t="s">
        <v>70</v>
      </c>
      <c r="T10" s="4">
        <v>155000</v>
      </c>
      <c r="U10" s="4">
        <v>22250</v>
      </c>
      <c r="V10" s="4" t="s">
        <v>71</v>
      </c>
      <c r="W10" s="4">
        <v>10000</v>
      </c>
      <c r="X10" s="4">
        <v>250000</v>
      </c>
      <c r="Y10" s="5">
        <v>46139</v>
      </c>
      <c r="Z10" s="5">
        <v>46157</v>
      </c>
      <c r="AA10" s="6">
        <v>24</v>
      </c>
      <c r="AB10" s="4">
        <v>17.09</v>
      </c>
      <c r="AC10" s="6">
        <v>29.99</v>
      </c>
      <c r="AD10" s="4">
        <v>177250</v>
      </c>
      <c r="AE10" s="8">
        <v>0.87447108603667134</v>
      </c>
      <c r="AF10" s="4" t="s">
        <v>83</v>
      </c>
      <c r="AG10" s="4" t="s">
        <v>83</v>
      </c>
      <c r="AH10" s="17" t="s">
        <v>84</v>
      </c>
      <c r="AI10" s="17" t="s">
        <v>134</v>
      </c>
      <c r="AJ10" s="18">
        <v>632.67999999999995</v>
      </c>
      <c r="AK10" s="18">
        <f>AJ10*12.25</f>
        <v>7750.329999999999</v>
      </c>
      <c r="AL10" s="18">
        <v>392.74</v>
      </c>
      <c r="AM10" s="18">
        <f>AL10*12.25</f>
        <v>4811.0650000000005</v>
      </c>
      <c r="AN10" s="18">
        <v>239.31</v>
      </c>
      <c r="AO10" s="18">
        <f>AN10*12.5</f>
        <v>2991.375</v>
      </c>
      <c r="AP10" s="18">
        <v>309.27999999999997</v>
      </c>
      <c r="AQ10" s="18">
        <f>AP10*12.5</f>
        <v>3865.9999999999995</v>
      </c>
      <c r="AR10" s="18">
        <f t="shared" si="0"/>
        <v>19418.77</v>
      </c>
      <c r="AS10" s="18">
        <v>283.45999999999998</v>
      </c>
      <c r="AT10" s="18">
        <f>AS10*12.5</f>
        <v>3543.2499999999995</v>
      </c>
      <c r="AU10" s="18">
        <f t="shared" si="1"/>
        <v>14172.999999999998</v>
      </c>
      <c r="AV10" s="18">
        <v>8666</v>
      </c>
      <c r="AW10" s="29">
        <f t="shared" si="2"/>
        <v>61.14</v>
      </c>
      <c r="AX10" s="30" t="str">
        <f t="shared" si="3"/>
        <v>Medium Risk</v>
      </c>
      <c r="AY10" s="18" t="str">
        <f t="shared" si="4"/>
        <v/>
      </c>
      <c r="AZ10" s="18" t="str">
        <f t="shared" si="5"/>
        <v>YES</v>
      </c>
      <c r="BA10" s="18" t="str">
        <f t="shared" si="6"/>
        <v/>
      </c>
      <c r="BB10" s="18" t="str">
        <f t="shared" si="7"/>
        <v/>
      </c>
    </row>
    <row r="11" spans="1:54" x14ac:dyDescent="0.2">
      <c r="A11" s="2">
        <v>9</v>
      </c>
      <c r="B11" s="2" t="s">
        <v>135</v>
      </c>
      <c r="C11" s="9">
        <v>46116</v>
      </c>
      <c r="D11" s="2" t="s">
        <v>136</v>
      </c>
      <c r="E11" s="2" t="s">
        <v>58</v>
      </c>
      <c r="F11" s="2" t="s">
        <v>88</v>
      </c>
      <c r="G11" s="2" t="s">
        <v>89</v>
      </c>
      <c r="H11" s="2" t="s">
        <v>90</v>
      </c>
      <c r="I11" s="2" t="s">
        <v>105</v>
      </c>
      <c r="J11" s="2" t="s">
        <v>137</v>
      </c>
      <c r="K11" s="4"/>
      <c r="L11" s="4" t="s">
        <v>64</v>
      </c>
      <c r="M11" s="4">
        <v>8871705752</v>
      </c>
      <c r="N11" s="4">
        <v>14</v>
      </c>
      <c r="O11" s="4" t="s">
        <v>138</v>
      </c>
      <c r="P11" s="4" t="s">
        <v>93</v>
      </c>
      <c r="Q11" s="4" t="s">
        <v>68</v>
      </c>
      <c r="R11" s="4" t="s">
        <v>82</v>
      </c>
      <c r="S11" s="4" t="s">
        <v>70</v>
      </c>
      <c r="T11" s="4">
        <v>135000</v>
      </c>
      <c r="U11" s="4">
        <v>65000</v>
      </c>
      <c r="V11" s="4" t="s">
        <v>71</v>
      </c>
      <c r="W11" s="4">
        <v>12000</v>
      </c>
      <c r="X11" s="4">
        <v>250000</v>
      </c>
      <c r="Y11" s="5">
        <v>46150</v>
      </c>
      <c r="Z11" s="5">
        <v>46178</v>
      </c>
      <c r="AA11" s="6">
        <v>24</v>
      </c>
      <c r="AB11" s="4">
        <v>17.09</v>
      </c>
      <c r="AC11" s="6">
        <v>29.99</v>
      </c>
      <c r="AD11" s="4">
        <v>200000</v>
      </c>
      <c r="AE11" s="7">
        <v>0.67500000000000004</v>
      </c>
      <c r="AF11" s="2" t="s">
        <v>139</v>
      </c>
      <c r="AG11" s="2" t="s">
        <v>140</v>
      </c>
      <c r="AH11" s="17" t="s">
        <v>99</v>
      </c>
      <c r="AI11" s="17" t="s">
        <v>141</v>
      </c>
      <c r="AJ11" s="18">
        <v>752.74</v>
      </c>
      <c r="AK11" s="18">
        <f>AJ11*12</f>
        <v>9032.880000000001</v>
      </c>
      <c r="AL11" s="18">
        <v>468.41</v>
      </c>
      <c r="AM11" s="18">
        <f>AL11*12</f>
        <v>5620.92</v>
      </c>
      <c r="AN11" s="18">
        <v>487.94999999999987</v>
      </c>
      <c r="AO11" s="18">
        <f>AN11*12</f>
        <v>5855.3999999999987</v>
      </c>
      <c r="AP11" s="18">
        <v>526.25</v>
      </c>
      <c r="AQ11" s="18">
        <f>AP11*12</f>
        <v>6315</v>
      </c>
      <c r="AR11" s="18">
        <f t="shared" si="0"/>
        <v>26824.2</v>
      </c>
      <c r="AS11" s="18">
        <v>561.51</v>
      </c>
      <c r="AT11" s="18">
        <f>AS11*12</f>
        <v>6738.12</v>
      </c>
      <c r="AU11" s="18">
        <f t="shared" si="1"/>
        <v>26952.48</v>
      </c>
      <c r="AV11" s="18">
        <v>7548</v>
      </c>
      <c r="AW11" s="29">
        <f t="shared" si="2"/>
        <v>28</v>
      </c>
      <c r="AX11" s="30" t="str">
        <f t="shared" si="3"/>
        <v>Low Risk</v>
      </c>
      <c r="AY11" s="18" t="str">
        <f t="shared" si="4"/>
        <v>YES</v>
      </c>
      <c r="AZ11" s="18" t="str">
        <f t="shared" si="5"/>
        <v/>
      </c>
      <c r="BA11" s="18" t="str">
        <f t="shared" si="6"/>
        <v/>
      </c>
      <c r="BB11" s="18" t="str">
        <f t="shared" si="7"/>
        <v/>
      </c>
    </row>
    <row r="12" spans="1:54" x14ac:dyDescent="0.2">
      <c r="A12" s="2">
        <v>10</v>
      </c>
      <c r="B12" s="2" t="s">
        <v>142</v>
      </c>
      <c r="C12" s="3">
        <v>46118</v>
      </c>
      <c r="D12" s="2" t="s">
        <v>143</v>
      </c>
      <c r="E12" s="2" t="s">
        <v>58</v>
      </c>
      <c r="F12" s="2" t="s">
        <v>144</v>
      </c>
      <c r="G12" s="2" t="s">
        <v>145</v>
      </c>
      <c r="H12" s="2" t="s">
        <v>61</v>
      </c>
      <c r="I12" s="2" t="s">
        <v>62</v>
      </c>
      <c r="J12" s="2" t="s">
        <v>63</v>
      </c>
      <c r="K12" s="4"/>
      <c r="L12" s="4" t="s">
        <v>64</v>
      </c>
      <c r="M12" s="4">
        <v>6307228822</v>
      </c>
      <c r="N12" s="4" t="s">
        <v>146</v>
      </c>
      <c r="O12" s="4" t="s">
        <v>147</v>
      </c>
      <c r="P12" s="4" t="s">
        <v>125</v>
      </c>
      <c r="Q12" s="4" t="s">
        <v>68</v>
      </c>
      <c r="R12" s="4" t="s">
        <v>148</v>
      </c>
      <c r="S12" s="4" t="s">
        <v>70</v>
      </c>
      <c r="T12" s="4">
        <v>140000</v>
      </c>
      <c r="U12" s="4">
        <v>60000</v>
      </c>
      <c r="V12" s="4">
        <v>747</v>
      </c>
      <c r="W12" s="4">
        <v>7000</v>
      </c>
      <c r="X12" s="4">
        <v>84000</v>
      </c>
      <c r="Y12" s="5">
        <v>46120</v>
      </c>
      <c r="Z12" s="5">
        <v>46147</v>
      </c>
      <c r="AA12" s="6">
        <v>15</v>
      </c>
      <c r="AB12" s="4">
        <v>17.09</v>
      </c>
      <c r="AC12" s="6">
        <v>30.29</v>
      </c>
      <c r="AD12" s="4">
        <v>172750</v>
      </c>
      <c r="AE12" s="8">
        <v>0.81041968162083933</v>
      </c>
      <c r="AF12" s="4" t="s">
        <v>83</v>
      </c>
      <c r="AG12" s="4" t="s">
        <v>83</v>
      </c>
      <c r="AH12" s="17" t="s">
        <v>84</v>
      </c>
      <c r="AI12" s="17" t="s">
        <v>149</v>
      </c>
      <c r="AJ12" s="18">
        <v>568.80999999999995</v>
      </c>
      <c r="AK12" s="18">
        <f>AJ12*12</f>
        <v>6825.7199999999993</v>
      </c>
      <c r="AL12" s="18">
        <v>361.96</v>
      </c>
      <c r="AM12" s="18">
        <f>AL12*12</f>
        <v>4343.5199999999995</v>
      </c>
      <c r="AN12" s="18">
        <v>336.21</v>
      </c>
      <c r="AO12" s="18">
        <f>AN12*12</f>
        <v>4034.5199999999995</v>
      </c>
      <c r="AP12" s="18">
        <v>241.44</v>
      </c>
      <c r="AQ12" s="18">
        <f>AP12*12</f>
        <v>2897.2799999999997</v>
      </c>
      <c r="AR12" s="18">
        <f t="shared" si="0"/>
        <v>18101.04</v>
      </c>
      <c r="AS12" s="18">
        <v>276.20999999999998</v>
      </c>
      <c r="AT12" s="18">
        <f>AS12*12</f>
        <v>3314.5199999999995</v>
      </c>
      <c r="AU12" s="18">
        <f t="shared" si="1"/>
        <v>13258.079999999998</v>
      </c>
      <c r="AV12" s="18">
        <v>11327</v>
      </c>
      <c r="AW12" s="29">
        <f t="shared" si="2"/>
        <v>85.43</v>
      </c>
      <c r="AX12" s="30" t="str">
        <f t="shared" si="3"/>
        <v>High Risk</v>
      </c>
      <c r="AY12" s="18" t="str">
        <f t="shared" si="4"/>
        <v/>
      </c>
      <c r="AZ12" s="18" t="str">
        <f t="shared" si="5"/>
        <v/>
      </c>
      <c r="BA12" s="18" t="str">
        <f t="shared" si="6"/>
        <v>YES</v>
      </c>
      <c r="BB12" s="18" t="str">
        <f t="shared" si="7"/>
        <v/>
      </c>
    </row>
    <row r="13" spans="1:54" x14ac:dyDescent="0.2">
      <c r="A13" s="2">
        <v>11</v>
      </c>
      <c r="B13" s="2" t="s">
        <v>150</v>
      </c>
      <c r="C13" s="9">
        <v>46118</v>
      </c>
      <c r="D13" s="2" t="s">
        <v>151</v>
      </c>
      <c r="E13" s="2" t="s">
        <v>58</v>
      </c>
      <c r="F13" s="2" t="s">
        <v>152</v>
      </c>
      <c r="G13" s="2" t="s">
        <v>153</v>
      </c>
      <c r="H13" s="2" t="s">
        <v>114</v>
      </c>
      <c r="I13" s="2" t="s">
        <v>105</v>
      </c>
      <c r="J13" s="2" t="s">
        <v>154</v>
      </c>
      <c r="K13" s="4"/>
      <c r="L13" s="4" t="s">
        <v>155</v>
      </c>
      <c r="M13" s="4">
        <v>9006003037</v>
      </c>
      <c r="N13" s="4" t="s">
        <v>156</v>
      </c>
      <c r="O13" s="4" t="s">
        <v>157</v>
      </c>
      <c r="P13" s="4" t="s">
        <v>67</v>
      </c>
      <c r="Q13" s="4" t="s">
        <v>68</v>
      </c>
      <c r="R13" s="4" t="s">
        <v>69</v>
      </c>
      <c r="S13" s="4" t="s">
        <v>70</v>
      </c>
      <c r="T13" s="4">
        <v>135000</v>
      </c>
      <c r="U13" s="4">
        <v>55000</v>
      </c>
      <c r="V13" s="4" t="s">
        <v>71</v>
      </c>
      <c r="W13" s="4">
        <v>10000</v>
      </c>
      <c r="X13" s="4">
        <v>200000</v>
      </c>
      <c r="Y13" s="5">
        <v>46140</v>
      </c>
      <c r="Z13" s="5">
        <v>46157</v>
      </c>
      <c r="AA13" s="6">
        <v>24</v>
      </c>
      <c r="AB13" s="4">
        <v>17.09</v>
      </c>
      <c r="AC13" s="6">
        <v>29.99</v>
      </c>
      <c r="AD13" s="4">
        <v>164650</v>
      </c>
      <c r="AE13" s="8">
        <v>0.81992104464014581</v>
      </c>
      <c r="AF13" s="4" t="s">
        <v>83</v>
      </c>
      <c r="AG13" s="4" t="s">
        <v>83</v>
      </c>
      <c r="AH13" s="17" t="s">
        <v>84</v>
      </c>
      <c r="AI13" s="17" t="s">
        <v>158</v>
      </c>
      <c r="AJ13" s="18">
        <v>427.55</v>
      </c>
      <c r="AK13" s="18">
        <f>AJ13*12.25</f>
        <v>5237.4875000000002</v>
      </c>
      <c r="AL13" s="18">
        <v>750.36</v>
      </c>
      <c r="AM13" s="18">
        <f>AL13*12.25</f>
        <v>9191.91</v>
      </c>
      <c r="AN13" s="18">
        <v>821.18</v>
      </c>
      <c r="AO13" s="18">
        <f>AN13*12.5</f>
        <v>10264.75</v>
      </c>
      <c r="AP13" s="18">
        <v>580.93000000000006</v>
      </c>
      <c r="AQ13" s="18">
        <f>AP13*12.5</f>
        <v>7261.6250000000009</v>
      </c>
      <c r="AR13" s="18">
        <f t="shared" si="0"/>
        <v>31955.772499999999</v>
      </c>
      <c r="AS13" s="18">
        <v>958.33999999999992</v>
      </c>
      <c r="AT13" s="18">
        <f>AS13*12.5</f>
        <v>11979.249999999998</v>
      </c>
      <c r="AU13" s="18">
        <f t="shared" si="1"/>
        <v>47916.999999999993</v>
      </c>
      <c r="AV13" s="18">
        <v>7548</v>
      </c>
      <c r="AW13" s="29">
        <f t="shared" si="2"/>
        <v>15.75</v>
      </c>
      <c r="AX13" s="30" t="str">
        <f t="shared" si="3"/>
        <v>Low Risk</v>
      </c>
      <c r="AY13" s="18" t="str">
        <f t="shared" si="4"/>
        <v>YES</v>
      </c>
      <c r="AZ13" s="18" t="str">
        <f t="shared" si="5"/>
        <v/>
      </c>
      <c r="BA13" s="18" t="str">
        <f t="shared" si="6"/>
        <v/>
      </c>
      <c r="BB13" s="18" t="str">
        <f t="shared" si="7"/>
        <v/>
      </c>
    </row>
    <row r="14" spans="1:54" x14ac:dyDescent="0.2">
      <c r="A14" s="2">
        <v>12</v>
      </c>
      <c r="B14" s="2" t="s">
        <v>159</v>
      </c>
      <c r="C14" s="9">
        <v>46126</v>
      </c>
      <c r="D14" s="2" t="s">
        <v>160</v>
      </c>
      <c r="E14" s="2" t="s">
        <v>58</v>
      </c>
      <c r="F14" s="2" t="s">
        <v>112</v>
      </c>
      <c r="G14" s="2" t="s">
        <v>113</v>
      </c>
      <c r="H14" s="2" t="s">
        <v>114</v>
      </c>
      <c r="I14" s="2" t="s">
        <v>161</v>
      </c>
      <c r="J14" s="2" t="s">
        <v>162</v>
      </c>
      <c r="K14" s="4"/>
      <c r="L14" s="4" t="s">
        <v>64</v>
      </c>
      <c r="M14" s="4">
        <v>7091864104</v>
      </c>
      <c r="N14" s="4" t="s">
        <v>163</v>
      </c>
      <c r="O14" s="4" t="s">
        <v>164</v>
      </c>
      <c r="P14" s="4" t="s">
        <v>67</v>
      </c>
      <c r="Q14" s="4" t="s">
        <v>68</v>
      </c>
      <c r="R14" s="4" t="s">
        <v>82</v>
      </c>
      <c r="S14" s="4" t="s">
        <v>70</v>
      </c>
      <c r="T14" s="4">
        <v>140000</v>
      </c>
      <c r="U14" s="4">
        <v>17300</v>
      </c>
      <c r="V14" s="4" t="s">
        <v>71</v>
      </c>
      <c r="W14" s="4">
        <v>10000</v>
      </c>
      <c r="X14" s="4">
        <v>220000</v>
      </c>
      <c r="Y14" s="5">
        <v>46149</v>
      </c>
      <c r="Z14" s="5">
        <v>46178</v>
      </c>
      <c r="AA14" s="6">
        <v>24</v>
      </c>
      <c r="AB14" s="4">
        <v>17.09</v>
      </c>
      <c r="AC14" s="6">
        <v>29.99</v>
      </c>
      <c r="AD14" s="4">
        <v>157300</v>
      </c>
      <c r="AE14" s="8">
        <v>0.89001907183725371</v>
      </c>
      <c r="AF14" s="4" t="s">
        <v>83</v>
      </c>
      <c r="AG14" s="4" t="s">
        <v>83</v>
      </c>
      <c r="AH14" s="17" t="s">
        <v>99</v>
      </c>
      <c r="AI14" s="17" t="s">
        <v>165</v>
      </c>
      <c r="AJ14" s="18">
        <v>15.71</v>
      </c>
      <c r="AK14" s="18">
        <f>AJ14*12.25</f>
        <v>192.44750000000002</v>
      </c>
      <c r="AL14" s="18">
        <v>704.6</v>
      </c>
      <c r="AM14" s="18">
        <f>AL14*12.25</f>
        <v>8631.35</v>
      </c>
      <c r="AN14" s="18">
        <v>702.05000000000007</v>
      </c>
      <c r="AO14" s="18">
        <f>AN14*12.5</f>
        <v>8775.625</v>
      </c>
      <c r="AP14" s="18">
        <v>685.5</v>
      </c>
      <c r="AQ14" s="18">
        <f>AP14*12.5</f>
        <v>8568.75</v>
      </c>
      <c r="AR14" s="18">
        <f t="shared" si="0"/>
        <v>26168.172499999997</v>
      </c>
      <c r="AS14" s="18">
        <v>810.41</v>
      </c>
      <c r="AT14" s="18">
        <f>AS14*12.5</f>
        <v>10130.125</v>
      </c>
      <c r="AU14" s="18">
        <f t="shared" si="1"/>
        <v>40520.5</v>
      </c>
      <c r="AV14" s="18">
        <v>7827</v>
      </c>
      <c r="AW14" s="29">
        <f t="shared" si="2"/>
        <v>19.32</v>
      </c>
      <c r="AX14" s="30" t="str">
        <f t="shared" si="3"/>
        <v>Low Risk</v>
      </c>
      <c r="AY14" s="18" t="str">
        <f t="shared" si="4"/>
        <v>YES</v>
      </c>
      <c r="AZ14" s="18" t="str">
        <f t="shared" si="5"/>
        <v/>
      </c>
      <c r="BA14" s="18" t="str">
        <f t="shared" si="6"/>
        <v/>
      </c>
      <c r="BB14" s="18" t="str">
        <f t="shared" si="7"/>
        <v/>
      </c>
    </row>
    <row r="15" spans="1:54" x14ac:dyDescent="0.2">
      <c r="A15" s="2">
        <v>13</v>
      </c>
      <c r="B15" s="2" t="s">
        <v>166</v>
      </c>
      <c r="C15" s="9">
        <v>46128</v>
      </c>
      <c r="D15" s="2" t="s">
        <v>167</v>
      </c>
      <c r="E15" s="2" t="s">
        <v>58</v>
      </c>
      <c r="F15" s="2" t="s">
        <v>121</v>
      </c>
      <c r="G15" s="2" t="s">
        <v>122</v>
      </c>
      <c r="H15" s="2" t="s">
        <v>114</v>
      </c>
      <c r="I15" s="2" t="s">
        <v>105</v>
      </c>
      <c r="J15" s="2" t="s">
        <v>154</v>
      </c>
      <c r="K15" s="4"/>
      <c r="L15" s="4" t="s">
        <v>64</v>
      </c>
      <c r="M15" s="4">
        <v>9833871609</v>
      </c>
      <c r="N15" s="4" t="s">
        <v>168</v>
      </c>
      <c r="O15" s="4" t="s">
        <v>169</v>
      </c>
      <c r="P15" s="4" t="s">
        <v>125</v>
      </c>
      <c r="Q15" s="4" t="s">
        <v>68</v>
      </c>
      <c r="R15" s="4" t="s">
        <v>82</v>
      </c>
      <c r="S15" s="4" t="s">
        <v>70</v>
      </c>
      <c r="T15" s="4">
        <v>140000</v>
      </c>
      <c r="U15" s="4">
        <v>24650</v>
      </c>
      <c r="V15" s="4">
        <v>797</v>
      </c>
      <c r="W15" s="4">
        <v>7000</v>
      </c>
      <c r="X15" s="4">
        <v>65000</v>
      </c>
      <c r="Y15" s="5">
        <v>46155</v>
      </c>
      <c r="Z15" s="5">
        <v>46178</v>
      </c>
      <c r="AA15" s="6">
        <v>24</v>
      </c>
      <c r="AB15" s="4">
        <v>17.09</v>
      </c>
      <c r="AC15" s="6">
        <v>29.99</v>
      </c>
      <c r="AD15" s="4">
        <v>164650</v>
      </c>
      <c r="AE15" s="8">
        <v>0.85028849073792889</v>
      </c>
      <c r="AF15" s="4" t="s">
        <v>83</v>
      </c>
      <c r="AG15" s="4" t="s">
        <v>83</v>
      </c>
      <c r="AH15" s="17" t="s">
        <v>99</v>
      </c>
      <c r="AI15" s="17" t="s">
        <v>170</v>
      </c>
      <c r="AJ15" s="18">
        <v>0</v>
      </c>
      <c r="AK15" s="18">
        <f>AJ15*12</f>
        <v>0</v>
      </c>
      <c r="AL15" s="18">
        <v>365.79</v>
      </c>
      <c r="AM15" s="18">
        <f>AL15*12</f>
        <v>4389.4800000000005</v>
      </c>
      <c r="AN15" s="18">
        <v>665.95</v>
      </c>
      <c r="AO15" s="18">
        <f>AN15*12</f>
        <v>7991.4000000000005</v>
      </c>
      <c r="AP15" s="18">
        <v>577.07000000000005</v>
      </c>
      <c r="AQ15" s="18">
        <f>AP15*12</f>
        <v>6924.84</v>
      </c>
      <c r="AR15" s="18">
        <f t="shared" si="0"/>
        <v>19305.72</v>
      </c>
      <c r="AS15" s="18">
        <v>714.59</v>
      </c>
      <c r="AT15" s="18">
        <f>AS15*12</f>
        <v>8575.08</v>
      </c>
      <c r="AU15" s="18">
        <f t="shared" si="1"/>
        <v>34300.32</v>
      </c>
      <c r="AV15" s="18">
        <v>7827</v>
      </c>
      <c r="AW15" s="29">
        <f t="shared" si="2"/>
        <v>22.82</v>
      </c>
      <c r="AX15" s="30" t="str">
        <f t="shared" si="3"/>
        <v>Low Risk</v>
      </c>
      <c r="AY15" s="18" t="str">
        <f t="shared" si="4"/>
        <v>YES</v>
      </c>
      <c r="AZ15" s="18" t="str">
        <f t="shared" si="5"/>
        <v/>
      </c>
      <c r="BA15" s="18" t="str">
        <f t="shared" si="6"/>
        <v/>
      </c>
      <c r="BB15" s="18" t="str">
        <f t="shared" si="7"/>
        <v/>
      </c>
    </row>
    <row r="16" spans="1:54" x14ac:dyDescent="0.2">
      <c r="A16" s="2">
        <v>14</v>
      </c>
      <c r="B16" s="2" t="s">
        <v>171</v>
      </c>
      <c r="C16" s="15">
        <v>46133.747743055559</v>
      </c>
      <c r="D16" s="2" t="s">
        <v>172</v>
      </c>
      <c r="E16" s="2" t="s">
        <v>58</v>
      </c>
      <c r="F16" s="2" t="s">
        <v>78</v>
      </c>
      <c r="G16" s="2" t="s">
        <v>79</v>
      </c>
      <c r="H16" s="2" t="s">
        <v>61</v>
      </c>
      <c r="I16" s="2" t="s">
        <v>62</v>
      </c>
      <c r="J16" s="2" t="s">
        <v>63</v>
      </c>
      <c r="K16" s="4"/>
      <c r="L16" s="4" t="s">
        <v>64</v>
      </c>
      <c r="M16" s="4">
        <v>7484866604</v>
      </c>
      <c r="N16" s="4" t="s">
        <v>173</v>
      </c>
      <c r="O16" s="4" t="s">
        <v>174</v>
      </c>
      <c r="P16" s="4" t="s">
        <v>67</v>
      </c>
      <c r="Q16" s="4" t="s">
        <v>68</v>
      </c>
      <c r="R16" s="4" t="s">
        <v>175</v>
      </c>
      <c r="S16" s="4" t="s">
        <v>176</v>
      </c>
      <c r="T16" s="4">
        <v>190000</v>
      </c>
      <c r="U16" s="4">
        <v>41650</v>
      </c>
      <c r="V16" s="4">
        <v>741</v>
      </c>
      <c r="W16" s="4">
        <v>9000</v>
      </c>
      <c r="X16" s="4">
        <v>150000</v>
      </c>
      <c r="Y16" s="5">
        <v>46143</v>
      </c>
      <c r="Z16" s="5">
        <v>46157</v>
      </c>
      <c r="AA16" s="6">
        <v>30</v>
      </c>
      <c r="AB16" s="4">
        <v>17.34</v>
      </c>
      <c r="AC16" s="6">
        <v>30.01</v>
      </c>
      <c r="AD16" s="4">
        <v>231650</v>
      </c>
      <c r="AE16" s="8">
        <v>0.82020289229440968</v>
      </c>
      <c r="AF16" s="4" t="s">
        <v>83</v>
      </c>
      <c r="AG16" s="4" t="s">
        <v>83</v>
      </c>
      <c r="AH16" s="17" t="s">
        <v>99</v>
      </c>
      <c r="AI16" s="17" t="s">
        <v>177</v>
      </c>
      <c r="AJ16" s="18">
        <v>388.67999999999989</v>
      </c>
      <c r="AK16" s="18">
        <f>AJ16*12.25</f>
        <v>4761.329999999999</v>
      </c>
      <c r="AL16" s="18">
        <v>348.41</v>
      </c>
      <c r="AM16" s="18">
        <f>AL16*12.25</f>
        <v>4268.0225</v>
      </c>
      <c r="AN16" s="18">
        <v>436.67</v>
      </c>
      <c r="AO16" s="18">
        <f>AN16*12.5</f>
        <v>5458.375</v>
      </c>
      <c r="AP16" s="18">
        <v>398.32000000000011</v>
      </c>
      <c r="AQ16" s="18">
        <f>AP16*12.5</f>
        <v>4979.0000000000009</v>
      </c>
      <c r="AR16" s="18">
        <f t="shared" si="0"/>
        <v>19466.727499999997</v>
      </c>
      <c r="AS16" s="18">
        <v>433.28</v>
      </c>
      <c r="AT16" s="18">
        <f>AS16*12.5</f>
        <v>5416</v>
      </c>
      <c r="AU16" s="18">
        <f t="shared" si="1"/>
        <v>21664</v>
      </c>
      <c r="AV16" s="18">
        <v>9079</v>
      </c>
      <c r="AW16" s="29">
        <f t="shared" si="2"/>
        <v>41.91</v>
      </c>
      <c r="AX16" s="30" t="str">
        <f t="shared" si="3"/>
        <v>Low Risk</v>
      </c>
      <c r="AY16" s="18" t="str">
        <f t="shared" si="4"/>
        <v>YES</v>
      </c>
      <c r="AZ16" s="18" t="str">
        <f t="shared" si="5"/>
        <v/>
      </c>
      <c r="BA16" s="18" t="str">
        <f t="shared" si="6"/>
        <v/>
      </c>
      <c r="BB16" s="18" t="str">
        <f t="shared" si="7"/>
        <v/>
      </c>
    </row>
    <row r="17" spans="1:54" x14ac:dyDescent="0.2">
      <c r="A17" s="2">
        <v>15</v>
      </c>
      <c r="B17" s="2" t="s">
        <v>178</v>
      </c>
      <c r="C17" s="15">
        <v>46135.789618055547</v>
      </c>
      <c r="D17" s="2" t="s">
        <v>179</v>
      </c>
      <c r="E17" s="2" t="s">
        <v>58</v>
      </c>
      <c r="F17" s="2" t="s">
        <v>180</v>
      </c>
      <c r="G17" s="2" t="s">
        <v>181</v>
      </c>
      <c r="H17" s="2" t="s">
        <v>61</v>
      </c>
      <c r="I17" s="2" t="s">
        <v>62</v>
      </c>
      <c r="J17" s="2" t="s">
        <v>63</v>
      </c>
      <c r="K17" s="4"/>
      <c r="L17" s="4" t="s">
        <v>64</v>
      </c>
      <c r="M17" s="4">
        <v>7795189847</v>
      </c>
      <c r="N17" s="4" t="s">
        <v>182</v>
      </c>
      <c r="O17" s="4" t="s">
        <v>183</v>
      </c>
      <c r="P17" s="4" t="s">
        <v>67</v>
      </c>
      <c r="Q17" s="4" t="s">
        <v>68</v>
      </c>
      <c r="R17" s="4" t="s">
        <v>82</v>
      </c>
      <c r="S17" s="4" t="s">
        <v>176</v>
      </c>
      <c r="T17" s="4">
        <v>180000</v>
      </c>
      <c r="U17" s="4">
        <v>60050</v>
      </c>
      <c r="V17" s="4" t="s">
        <v>71</v>
      </c>
      <c r="W17" s="4">
        <v>10000</v>
      </c>
      <c r="X17" s="4">
        <v>220000</v>
      </c>
      <c r="Y17" s="5">
        <v>46156</v>
      </c>
      <c r="Z17" s="5">
        <v>46178</v>
      </c>
      <c r="AA17" s="6">
        <v>30</v>
      </c>
      <c r="AB17" s="4">
        <v>17.34</v>
      </c>
      <c r="AC17" s="6">
        <v>30.01</v>
      </c>
      <c r="AD17" s="4">
        <v>240050</v>
      </c>
      <c r="AE17" s="8">
        <v>0.74984378254530304</v>
      </c>
      <c r="AF17" s="4" t="s">
        <v>83</v>
      </c>
      <c r="AG17" s="4" t="s">
        <v>83</v>
      </c>
      <c r="AH17" s="17" t="s">
        <v>99</v>
      </c>
      <c r="AI17" s="17" t="s">
        <v>184</v>
      </c>
      <c r="AJ17" s="18">
        <v>350.62</v>
      </c>
      <c r="AK17" s="18">
        <f>AJ17*12.25</f>
        <v>4295.0950000000003</v>
      </c>
      <c r="AL17" s="18">
        <v>425.49999999999989</v>
      </c>
      <c r="AM17" s="18">
        <f>AL17*12.25</f>
        <v>5212.3749999999982</v>
      </c>
      <c r="AN17" s="18">
        <v>484.38</v>
      </c>
      <c r="AO17" s="18">
        <f>AN17*12.5</f>
        <v>6054.75</v>
      </c>
      <c r="AP17" s="18">
        <v>144.5</v>
      </c>
      <c r="AQ17" s="18">
        <f>AP17*12.5</f>
        <v>1806.25</v>
      </c>
      <c r="AR17" s="18">
        <f t="shared" si="0"/>
        <v>17368.469999999998</v>
      </c>
      <c r="AS17" s="18">
        <v>208.45</v>
      </c>
      <c r="AT17" s="18">
        <f>AS17*12.5</f>
        <v>2605.625</v>
      </c>
      <c r="AU17" s="18">
        <f t="shared" si="1"/>
        <v>10422.5</v>
      </c>
      <c r="AV17" s="18">
        <v>8601</v>
      </c>
      <c r="AW17" s="29">
        <f t="shared" si="2"/>
        <v>82.52</v>
      </c>
      <c r="AX17" s="30" t="str">
        <f t="shared" si="3"/>
        <v>High Risk</v>
      </c>
      <c r="AY17" s="18" t="str">
        <f t="shared" si="4"/>
        <v/>
      </c>
      <c r="AZ17" s="18" t="str">
        <f t="shared" si="5"/>
        <v/>
      </c>
      <c r="BA17" s="18" t="str">
        <f t="shared" si="6"/>
        <v>YES</v>
      </c>
      <c r="BB17" s="18" t="str">
        <f t="shared" si="7"/>
        <v/>
      </c>
    </row>
    <row r="18" spans="1:54" x14ac:dyDescent="0.2">
      <c r="A18" s="2">
        <v>16</v>
      </c>
      <c r="B18" s="2" t="s">
        <v>185</v>
      </c>
      <c r="C18" s="15">
        <v>46136.674386574072</v>
      </c>
      <c r="D18" s="2" t="s">
        <v>186</v>
      </c>
      <c r="E18" s="2" t="s">
        <v>58</v>
      </c>
      <c r="F18" s="2" t="s">
        <v>144</v>
      </c>
      <c r="G18" s="2" t="s">
        <v>145</v>
      </c>
      <c r="H18" s="2" t="s">
        <v>61</v>
      </c>
      <c r="I18" s="2" t="s">
        <v>62</v>
      </c>
      <c r="J18" s="2" t="s">
        <v>63</v>
      </c>
      <c r="K18" s="4"/>
      <c r="L18" s="4" t="s">
        <v>64</v>
      </c>
      <c r="M18" s="4">
        <v>9519227726</v>
      </c>
      <c r="N18" s="4" t="s">
        <v>187</v>
      </c>
      <c r="O18" s="4" t="s">
        <v>188</v>
      </c>
      <c r="P18" s="4" t="s">
        <v>125</v>
      </c>
      <c r="Q18" s="4" t="s">
        <v>68</v>
      </c>
      <c r="R18" s="4" t="s">
        <v>148</v>
      </c>
      <c r="S18" s="4" t="s">
        <v>176</v>
      </c>
      <c r="T18" s="4">
        <v>190000</v>
      </c>
      <c r="U18" s="4">
        <v>60000</v>
      </c>
      <c r="V18" s="4">
        <v>821</v>
      </c>
      <c r="W18" s="4">
        <v>7000</v>
      </c>
      <c r="X18" s="4">
        <v>84000</v>
      </c>
      <c r="Y18" s="5">
        <v>46141</v>
      </c>
      <c r="Z18" s="5">
        <v>46157</v>
      </c>
      <c r="AA18" s="6">
        <v>24</v>
      </c>
      <c r="AB18" s="4">
        <v>17.34</v>
      </c>
      <c r="AC18" s="6">
        <v>30.4</v>
      </c>
      <c r="AD18" s="4">
        <v>240050</v>
      </c>
      <c r="AE18" s="8">
        <v>0.79150177046448655</v>
      </c>
      <c r="AF18" s="4" t="s">
        <v>83</v>
      </c>
      <c r="AG18" s="4" t="s">
        <v>83</v>
      </c>
      <c r="AH18" s="17" t="s">
        <v>84</v>
      </c>
      <c r="AI18" s="17" t="s">
        <v>189</v>
      </c>
      <c r="AJ18" s="18">
        <v>0</v>
      </c>
      <c r="AK18" s="18">
        <f>AJ18*12</f>
        <v>0</v>
      </c>
      <c r="AL18" s="18">
        <v>119.75</v>
      </c>
      <c r="AM18" s="18">
        <f>AL18*12</f>
        <v>1437</v>
      </c>
      <c r="AN18" s="18">
        <v>0</v>
      </c>
      <c r="AO18" s="18">
        <f>AN18*12</f>
        <v>0</v>
      </c>
      <c r="AP18" s="18">
        <v>523.89</v>
      </c>
      <c r="AQ18" s="18">
        <f>AP18*12</f>
        <v>6286.68</v>
      </c>
      <c r="AR18" s="18">
        <f t="shared" si="0"/>
        <v>7723.68</v>
      </c>
      <c r="AS18" s="18">
        <v>835.47</v>
      </c>
      <c r="AT18" s="18">
        <f>AS18*12</f>
        <v>10025.64</v>
      </c>
      <c r="AU18" s="18">
        <f t="shared" si="1"/>
        <v>40102.559999999998</v>
      </c>
      <c r="AV18" s="18">
        <v>10663</v>
      </c>
      <c r="AW18" s="29">
        <f t="shared" si="2"/>
        <v>26.59</v>
      </c>
      <c r="AX18" s="30" t="str">
        <f t="shared" si="3"/>
        <v>Low Risk</v>
      </c>
      <c r="AY18" s="18" t="str">
        <f t="shared" si="4"/>
        <v>YES</v>
      </c>
      <c r="AZ18" s="18" t="str">
        <f t="shared" si="5"/>
        <v/>
      </c>
      <c r="BA18" s="18" t="str">
        <f t="shared" si="6"/>
        <v/>
      </c>
      <c r="BB18" s="18" t="str">
        <f t="shared" si="7"/>
        <v/>
      </c>
    </row>
    <row r="19" spans="1:54" x14ac:dyDescent="0.2">
      <c r="A19" s="2">
        <v>17</v>
      </c>
      <c r="B19" s="2" t="s">
        <v>190</v>
      </c>
      <c r="C19" s="15">
        <v>46137.642476851863</v>
      </c>
      <c r="D19" s="2" t="s">
        <v>191</v>
      </c>
      <c r="E19" s="2" t="s">
        <v>58</v>
      </c>
      <c r="F19" s="2" t="s">
        <v>192</v>
      </c>
      <c r="G19" s="2" t="s">
        <v>193</v>
      </c>
      <c r="H19" s="2" t="s">
        <v>90</v>
      </c>
      <c r="I19" s="2" t="s">
        <v>62</v>
      </c>
      <c r="J19" s="2" t="s">
        <v>63</v>
      </c>
      <c r="K19" s="4"/>
      <c r="L19" s="4" t="s">
        <v>64</v>
      </c>
      <c r="M19" s="4">
        <v>8969317504</v>
      </c>
      <c r="N19" s="4" t="s">
        <v>194</v>
      </c>
      <c r="O19" s="4" t="s">
        <v>195</v>
      </c>
      <c r="P19" s="4" t="s">
        <v>67</v>
      </c>
      <c r="Q19" s="4" t="s">
        <v>68</v>
      </c>
      <c r="R19" s="4" t="s">
        <v>82</v>
      </c>
      <c r="S19" s="4" t="s">
        <v>176</v>
      </c>
      <c r="T19" s="4">
        <v>165000</v>
      </c>
      <c r="U19" s="4">
        <v>25900</v>
      </c>
      <c r="V19" s="4" t="s">
        <v>71</v>
      </c>
      <c r="W19" s="4">
        <v>10000</v>
      </c>
      <c r="X19" s="4">
        <v>180000</v>
      </c>
      <c r="Y19" s="5">
        <v>46149</v>
      </c>
      <c r="Z19" s="5">
        <v>46178</v>
      </c>
      <c r="AA19" s="6">
        <v>30</v>
      </c>
      <c r="AB19" s="4">
        <v>17.329999999999998</v>
      </c>
      <c r="AC19" s="6">
        <v>29.99</v>
      </c>
      <c r="AD19" s="4">
        <v>190900</v>
      </c>
      <c r="AE19" s="8">
        <v>0.86432687270822417</v>
      </c>
      <c r="AF19" s="4" t="s">
        <v>83</v>
      </c>
      <c r="AG19" s="4" t="s">
        <v>83</v>
      </c>
      <c r="AH19" s="17" t="s">
        <v>99</v>
      </c>
      <c r="AI19" s="17" t="s">
        <v>196</v>
      </c>
      <c r="AJ19" s="18">
        <v>482.82</v>
      </c>
      <c r="AK19" s="18">
        <f>AJ19*12.25</f>
        <v>5914.5450000000001</v>
      </c>
      <c r="AL19" s="18">
        <v>350.06</v>
      </c>
      <c r="AM19" s="18">
        <f>AL19*12.25</f>
        <v>4288.2349999999997</v>
      </c>
      <c r="AN19" s="18">
        <v>260.12</v>
      </c>
      <c r="AO19" s="18">
        <f>AN19*12.5</f>
        <v>3251.5</v>
      </c>
      <c r="AP19" s="18">
        <v>251.03</v>
      </c>
      <c r="AQ19" s="18">
        <f>AP19*12.5</f>
        <v>3137.875</v>
      </c>
      <c r="AR19" s="18">
        <f t="shared" si="0"/>
        <v>16592.154999999999</v>
      </c>
      <c r="AS19" s="18">
        <v>130.19</v>
      </c>
      <c r="AT19" s="18">
        <f>AS19*12.5</f>
        <v>1627.375</v>
      </c>
      <c r="AU19" s="18">
        <f t="shared" si="1"/>
        <v>6509.5</v>
      </c>
      <c r="AV19" s="18">
        <v>7882</v>
      </c>
      <c r="AW19" s="29">
        <f t="shared" si="2"/>
        <v>121.08</v>
      </c>
      <c r="AX19" s="30" t="str">
        <f t="shared" si="3"/>
        <v>Expected Default</v>
      </c>
      <c r="AY19" s="18" t="str">
        <f t="shared" si="4"/>
        <v/>
      </c>
      <c r="AZ19" s="18" t="str">
        <f t="shared" si="5"/>
        <v/>
      </c>
      <c r="BA19" s="18" t="str">
        <f t="shared" si="6"/>
        <v/>
      </c>
      <c r="BB19" s="18" t="str">
        <f t="shared" si="7"/>
        <v>YES</v>
      </c>
    </row>
    <row r="20" spans="1:54" x14ac:dyDescent="0.2">
      <c r="A20" s="2">
        <v>18</v>
      </c>
      <c r="B20" s="2" t="s">
        <v>197</v>
      </c>
      <c r="C20" s="15">
        <v>46140.547071759262</v>
      </c>
      <c r="D20" s="2" t="s">
        <v>198</v>
      </c>
      <c r="E20" s="2" t="s">
        <v>58</v>
      </c>
      <c r="F20" s="2" t="s">
        <v>192</v>
      </c>
      <c r="G20" s="2" t="s">
        <v>193</v>
      </c>
      <c r="H20" s="2" t="s">
        <v>90</v>
      </c>
      <c r="I20" s="2" t="s">
        <v>62</v>
      </c>
      <c r="J20" s="2" t="s">
        <v>63</v>
      </c>
      <c r="K20" s="4"/>
      <c r="L20" s="4" t="s">
        <v>64</v>
      </c>
      <c r="M20" s="4">
        <v>9905687724</v>
      </c>
      <c r="N20" s="4" t="s">
        <v>199</v>
      </c>
      <c r="O20" s="4" t="s">
        <v>200</v>
      </c>
      <c r="P20" s="4" t="s">
        <v>67</v>
      </c>
      <c r="Q20" s="4" t="s">
        <v>68</v>
      </c>
      <c r="R20" s="4" t="s">
        <v>82</v>
      </c>
      <c r="S20" s="4" t="s">
        <v>176</v>
      </c>
      <c r="T20" s="4">
        <v>165000</v>
      </c>
      <c r="U20" s="4">
        <v>25900</v>
      </c>
      <c r="V20" s="4">
        <v>740</v>
      </c>
      <c r="W20" s="4">
        <v>10000</v>
      </c>
      <c r="X20" s="4">
        <v>220000</v>
      </c>
      <c r="Y20" s="5">
        <v>46154</v>
      </c>
      <c r="Z20" s="5">
        <v>46178</v>
      </c>
      <c r="AA20" s="6">
        <v>30</v>
      </c>
      <c r="AB20" s="4">
        <v>17.329999999999998</v>
      </c>
      <c r="AC20" s="6">
        <v>29.99</v>
      </c>
      <c r="AD20" s="4">
        <v>190900</v>
      </c>
      <c r="AE20" s="8">
        <v>0.86432687270822417</v>
      </c>
      <c r="AF20" s="4" t="s">
        <v>83</v>
      </c>
      <c r="AG20" s="4" t="s">
        <v>83</v>
      </c>
      <c r="AH20" s="17" t="s">
        <v>99</v>
      </c>
      <c r="AI20" s="17" t="s">
        <v>201</v>
      </c>
      <c r="AJ20" s="18">
        <v>629.24</v>
      </c>
      <c r="AK20" s="18">
        <f>AJ20*12.25</f>
        <v>7708.1900000000005</v>
      </c>
      <c r="AL20" s="18">
        <v>758.72</v>
      </c>
      <c r="AM20" s="18">
        <f>AL20*12.25</f>
        <v>9294.32</v>
      </c>
      <c r="AN20" s="18">
        <v>625.95000000000005</v>
      </c>
      <c r="AO20" s="18">
        <f>AN20*12.5</f>
        <v>7824.3750000000009</v>
      </c>
      <c r="AP20" s="18">
        <v>600.30999999999995</v>
      </c>
      <c r="AQ20" s="18">
        <f>AP20*12.5</f>
        <v>7503.8749999999991</v>
      </c>
      <c r="AR20" s="18">
        <f t="shared" si="0"/>
        <v>32330.760000000002</v>
      </c>
      <c r="AS20" s="18">
        <v>404.11</v>
      </c>
      <c r="AT20" s="18">
        <f>AS20*12.5</f>
        <v>5051.375</v>
      </c>
      <c r="AU20" s="18">
        <f t="shared" si="1"/>
        <v>20205.5</v>
      </c>
      <c r="AV20" s="18">
        <v>7882</v>
      </c>
      <c r="AW20" s="29">
        <f t="shared" si="2"/>
        <v>39.01</v>
      </c>
      <c r="AX20" s="30" t="str">
        <f t="shared" si="3"/>
        <v>Low Risk</v>
      </c>
      <c r="AY20" s="18" t="str">
        <f t="shared" si="4"/>
        <v>YES</v>
      </c>
      <c r="AZ20" s="18" t="str">
        <f t="shared" si="5"/>
        <v/>
      </c>
      <c r="BA20" s="18" t="str">
        <f t="shared" si="6"/>
        <v/>
      </c>
      <c r="BB20" s="18" t="str">
        <f t="shared" si="7"/>
        <v/>
      </c>
    </row>
    <row r="21" spans="1:54" x14ac:dyDescent="0.2">
      <c r="A21" s="2">
        <v>19</v>
      </c>
      <c r="B21" s="2" t="s">
        <v>202</v>
      </c>
      <c r="C21" s="15">
        <v>46143.591782407413</v>
      </c>
      <c r="D21" s="2" t="s">
        <v>203</v>
      </c>
      <c r="E21" s="2" t="s">
        <v>58</v>
      </c>
      <c r="F21" s="2" t="s">
        <v>112</v>
      </c>
      <c r="G21" s="2" t="s">
        <v>113</v>
      </c>
      <c r="H21" s="2" t="s">
        <v>114</v>
      </c>
      <c r="I21" s="2" t="s">
        <v>62</v>
      </c>
      <c r="J21" s="2" t="s">
        <v>63</v>
      </c>
      <c r="K21" s="4"/>
      <c r="L21" s="4" t="s">
        <v>64</v>
      </c>
      <c r="M21" s="4">
        <v>9835400984</v>
      </c>
      <c r="N21" s="4" t="s">
        <v>204</v>
      </c>
      <c r="O21" s="4" t="s">
        <v>205</v>
      </c>
      <c r="P21" s="4" t="s">
        <v>67</v>
      </c>
      <c r="Q21" s="4" t="s">
        <v>68</v>
      </c>
      <c r="R21" s="4" t="s">
        <v>82</v>
      </c>
      <c r="S21" s="4" t="s">
        <v>70</v>
      </c>
      <c r="T21" s="4">
        <v>140000</v>
      </c>
      <c r="U21" s="4">
        <v>17300</v>
      </c>
      <c r="V21" s="4">
        <v>790</v>
      </c>
      <c r="W21" s="4">
        <v>10000</v>
      </c>
      <c r="X21" s="4">
        <v>220000</v>
      </c>
      <c r="Y21" s="5">
        <v>46147</v>
      </c>
      <c r="Z21" s="5">
        <v>46157</v>
      </c>
      <c r="AA21" s="6">
        <v>15</v>
      </c>
      <c r="AB21" s="4">
        <v>17.09</v>
      </c>
      <c r="AC21" s="6">
        <v>30.29</v>
      </c>
      <c r="AD21" s="4">
        <v>157300</v>
      </c>
      <c r="AE21" s="8">
        <v>0.89001907183725371</v>
      </c>
      <c r="AF21" s="4" t="s">
        <v>83</v>
      </c>
      <c r="AG21" s="4" t="s">
        <v>83</v>
      </c>
      <c r="AH21" s="17" t="s">
        <v>99</v>
      </c>
      <c r="AI21" s="17" t="s">
        <v>206</v>
      </c>
      <c r="AJ21" s="18">
        <v>0</v>
      </c>
      <c r="AK21" s="18">
        <f>AJ21*12.25</f>
        <v>0</v>
      </c>
      <c r="AL21" s="18">
        <v>207.36</v>
      </c>
      <c r="AM21" s="18">
        <f>AL21*12.25</f>
        <v>2540.1600000000003</v>
      </c>
      <c r="AN21" s="18">
        <v>348.99</v>
      </c>
      <c r="AO21" s="18">
        <f>AN21*12.5</f>
        <v>4362.375</v>
      </c>
      <c r="AP21" s="18">
        <v>374.56000000000012</v>
      </c>
      <c r="AQ21" s="18">
        <f>AP21*12.5</f>
        <v>4682.0000000000018</v>
      </c>
      <c r="AR21" s="18">
        <f t="shared" si="0"/>
        <v>11584.535000000002</v>
      </c>
      <c r="AS21" s="18">
        <v>518.1</v>
      </c>
      <c r="AT21" s="18">
        <f>AS21*12.5</f>
        <v>6476.25</v>
      </c>
      <c r="AU21" s="18">
        <f t="shared" si="1"/>
        <v>25905</v>
      </c>
      <c r="AV21" s="18">
        <v>11327</v>
      </c>
      <c r="AW21" s="29">
        <f t="shared" si="2"/>
        <v>43.73</v>
      </c>
      <c r="AX21" s="30" t="str">
        <f t="shared" si="3"/>
        <v>Low Risk</v>
      </c>
      <c r="AY21" s="18" t="str">
        <f t="shared" si="4"/>
        <v>YES</v>
      </c>
      <c r="AZ21" s="18" t="str">
        <f t="shared" si="5"/>
        <v/>
      </c>
      <c r="BA21" s="18" t="str">
        <f t="shared" si="6"/>
        <v/>
      </c>
      <c r="BB21" s="18" t="str">
        <f t="shared" si="7"/>
        <v/>
      </c>
    </row>
    <row r="22" spans="1:54" x14ac:dyDescent="0.2">
      <c r="A22" s="2">
        <v>20</v>
      </c>
      <c r="B22" s="2" t="s">
        <v>207</v>
      </c>
      <c r="C22" s="15">
        <v>46152.546076388891</v>
      </c>
      <c r="D22" s="2" t="s">
        <v>208</v>
      </c>
      <c r="E22" s="2" t="s">
        <v>58</v>
      </c>
      <c r="F22" s="2" t="s">
        <v>144</v>
      </c>
      <c r="G22" s="2" t="s">
        <v>145</v>
      </c>
      <c r="H22" s="2" t="s">
        <v>61</v>
      </c>
      <c r="I22" s="2" t="s">
        <v>62</v>
      </c>
      <c r="J22" s="2" t="s">
        <v>63</v>
      </c>
      <c r="K22" s="4"/>
      <c r="L22" s="4" t="s">
        <v>64</v>
      </c>
      <c r="M22" s="4">
        <v>9129634705</v>
      </c>
      <c r="N22" s="4" t="s">
        <v>209</v>
      </c>
      <c r="O22" s="4" t="s">
        <v>210</v>
      </c>
      <c r="P22" s="4" t="s">
        <v>125</v>
      </c>
      <c r="Q22" s="4" t="s">
        <v>68</v>
      </c>
      <c r="R22" s="4" t="s">
        <v>148</v>
      </c>
      <c r="S22" s="4" t="s">
        <v>70</v>
      </c>
      <c r="T22" s="4">
        <v>140000</v>
      </c>
      <c r="U22" s="4">
        <v>33750</v>
      </c>
      <c r="V22" s="4" t="s">
        <v>71</v>
      </c>
      <c r="W22" s="4">
        <v>7000</v>
      </c>
      <c r="X22" s="4">
        <v>84000</v>
      </c>
      <c r="Y22" s="5">
        <v>46156</v>
      </c>
      <c r="Z22" s="5">
        <v>46178</v>
      </c>
      <c r="AA22" s="6">
        <v>24</v>
      </c>
      <c r="AB22" s="4">
        <v>17.09</v>
      </c>
      <c r="AC22" s="6">
        <v>29.99</v>
      </c>
      <c r="AD22" s="4">
        <v>173750</v>
      </c>
      <c r="AE22" s="8">
        <v>0.80575539568345322</v>
      </c>
      <c r="AF22" s="4" t="s">
        <v>83</v>
      </c>
      <c r="AG22" s="4" t="s">
        <v>83</v>
      </c>
      <c r="AH22" s="17" t="s">
        <v>99</v>
      </c>
      <c r="AI22" s="17" t="s">
        <v>211</v>
      </c>
      <c r="AJ22" s="18">
        <v>767.12999999999988</v>
      </c>
      <c r="AK22" s="18">
        <f>AJ22*12</f>
        <v>9205.5599999999977</v>
      </c>
      <c r="AL22" s="18">
        <v>641.66999999999996</v>
      </c>
      <c r="AM22" s="18">
        <f>AL22*12</f>
        <v>7700.0399999999991</v>
      </c>
      <c r="AN22" s="18">
        <v>531.23</v>
      </c>
      <c r="AO22" s="18">
        <f>AN22*12</f>
        <v>6374.76</v>
      </c>
      <c r="AP22" s="18">
        <v>594.55999999999995</v>
      </c>
      <c r="AQ22" s="18">
        <f>AP22*12</f>
        <v>7134.7199999999993</v>
      </c>
      <c r="AR22" s="18">
        <f t="shared" si="0"/>
        <v>30415.079999999994</v>
      </c>
      <c r="AS22" s="18">
        <v>598.15</v>
      </c>
      <c r="AT22" s="18">
        <f>AS22*12</f>
        <v>7177.7999999999993</v>
      </c>
      <c r="AU22" s="18">
        <f t="shared" si="1"/>
        <v>28711.199999999997</v>
      </c>
      <c r="AV22" s="18">
        <v>7827</v>
      </c>
      <c r="AW22" s="29">
        <f t="shared" si="2"/>
        <v>27.26</v>
      </c>
      <c r="AX22" s="30" t="str">
        <f t="shared" si="3"/>
        <v>Low Risk</v>
      </c>
      <c r="AY22" s="18" t="str">
        <f t="shared" si="4"/>
        <v>YES</v>
      </c>
      <c r="AZ22" s="18" t="str">
        <f t="shared" si="5"/>
        <v/>
      </c>
      <c r="BA22" s="18" t="str">
        <f t="shared" si="6"/>
        <v/>
      </c>
      <c r="BB22" s="18" t="str">
        <f t="shared" si="7"/>
        <v/>
      </c>
    </row>
    <row r="23" spans="1:54" x14ac:dyDescent="0.2">
      <c r="A23" s="2">
        <v>21</v>
      </c>
      <c r="B23" s="2" t="s">
        <v>212</v>
      </c>
      <c r="C23" s="15">
        <v>46156.495254629634</v>
      </c>
      <c r="D23" s="2" t="s">
        <v>213</v>
      </c>
      <c r="E23" s="2" t="s">
        <v>58</v>
      </c>
      <c r="F23" s="2" t="s">
        <v>192</v>
      </c>
      <c r="G23" s="2" t="s">
        <v>193</v>
      </c>
      <c r="H23" s="2" t="s">
        <v>90</v>
      </c>
      <c r="I23" s="2" t="s">
        <v>62</v>
      </c>
      <c r="J23" s="2" t="s">
        <v>63</v>
      </c>
      <c r="K23" s="4"/>
      <c r="L23" s="4" t="s">
        <v>64</v>
      </c>
      <c r="M23" s="4">
        <v>8298935673</v>
      </c>
      <c r="N23" s="4" t="s">
        <v>214</v>
      </c>
      <c r="O23" s="4" t="s">
        <v>215</v>
      </c>
      <c r="P23" s="4" t="s">
        <v>67</v>
      </c>
      <c r="Q23" s="4" t="s">
        <v>68</v>
      </c>
      <c r="R23" s="4" t="s">
        <v>82</v>
      </c>
      <c r="S23" s="4" t="s">
        <v>70</v>
      </c>
      <c r="T23" s="4">
        <v>110000</v>
      </c>
      <c r="U23" s="4">
        <v>79325</v>
      </c>
      <c r="V23" s="4">
        <v>717</v>
      </c>
      <c r="W23" s="4">
        <v>10000</v>
      </c>
      <c r="X23" s="4">
        <v>220000</v>
      </c>
      <c r="Y23" s="5">
        <v>46157</v>
      </c>
      <c r="Z23" s="5">
        <v>46178</v>
      </c>
      <c r="AA23" s="6">
        <v>12</v>
      </c>
      <c r="AB23" s="4">
        <v>17.09</v>
      </c>
      <c r="AC23" s="6">
        <v>30.18</v>
      </c>
      <c r="AD23" s="4">
        <v>189325</v>
      </c>
      <c r="AE23" s="7">
        <v>0.58101148818169801</v>
      </c>
      <c r="AF23" s="2" t="s">
        <v>216</v>
      </c>
      <c r="AG23" s="2" t="s">
        <v>83</v>
      </c>
      <c r="AH23" s="17" t="s">
        <v>99</v>
      </c>
      <c r="AI23" s="17" t="s">
        <v>217</v>
      </c>
      <c r="AJ23" s="18">
        <v>922.48</v>
      </c>
      <c r="AK23" s="18">
        <f>AJ23*12.25</f>
        <v>11300.380000000001</v>
      </c>
      <c r="AL23" s="18">
        <v>759.33</v>
      </c>
      <c r="AM23" s="18">
        <f>AL23*12.25</f>
        <v>9301.7925000000014</v>
      </c>
      <c r="AN23" s="18">
        <v>605.75</v>
      </c>
      <c r="AO23" s="18">
        <f>AN23*12.5</f>
        <v>7571.875</v>
      </c>
      <c r="AP23" s="18">
        <v>599.45000000000005</v>
      </c>
      <c r="AQ23" s="18">
        <f>AP23*12.5</f>
        <v>7493.1250000000009</v>
      </c>
      <c r="AR23" s="18">
        <f t="shared" si="0"/>
        <v>35667.172500000001</v>
      </c>
      <c r="AS23" s="18">
        <v>620.25</v>
      </c>
      <c r="AT23" s="18">
        <f>AS23*12.5</f>
        <v>7753.125</v>
      </c>
      <c r="AU23" s="18">
        <f t="shared" si="1"/>
        <v>31012.5</v>
      </c>
      <c r="AV23" s="18">
        <v>10733</v>
      </c>
      <c r="AW23" s="29">
        <f t="shared" si="2"/>
        <v>34.61</v>
      </c>
      <c r="AX23" s="30" t="str">
        <f t="shared" si="3"/>
        <v>Low Risk</v>
      </c>
      <c r="AY23" s="18" t="str">
        <f t="shared" si="4"/>
        <v>YES</v>
      </c>
      <c r="AZ23" s="18" t="str">
        <f t="shared" si="5"/>
        <v/>
      </c>
      <c r="BA23" s="18" t="str">
        <f t="shared" si="6"/>
        <v/>
      </c>
      <c r="BB23" s="18" t="str">
        <f t="shared" si="7"/>
        <v/>
      </c>
    </row>
    <row r="24" spans="1:54" x14ac:dyDescent="0.2">
      <c r="A24" s="2">
        <v>22</v>
      </c>
      <c r="B24" s="2" t="s">
        <v>218</v>
      </c>
      <c r="C24" s="15">
        <v>46153.495254629634</v>
      </c>
      <c r="D24" s="2" t="s">
        <v>219</v>
      </c>
      <c r="E24" s="2" t="s">
        <v>58</v>
      </c>
      <c r="F24" s="2" t="s">
        <v>220</v>
      </c>
      <c r="G24" s="2" t="s">
        <v>221</v>
      </c>
      <c r="H24" s="2" t="s">
        <v>90</v>
      </c>
      <c r="I24" s="2" t="s">
        <v>62</v>
      </c>
      <c r="J24" s="2" t="s">
        <v>115</v>
      </c>
      <c r="K24" s="4"/>
      <c r="L24" s="4" t="s">
        <v>64</v>
      </c>
      <c r="M24" s="4">
        <v>8863070692</v>
      </c>
      <c r="N24" s="4" t="s">
        <v>222</v>
      </c>
      <c r="O24" s="4" t="s">
        <v>223</v>
      </c>
      <c r="P24" s="4" t="s">
        <v>67</v>
      </c>
      <c r="Q24" s="4" t="s">
        <v>224</v>
      </c>
      <c r="R24" s="4" t="s">
        <v>225</v>
      </c>
      <c r="S24" s="4" t="s">
        <v>176</v>
      </c>
      <c r="T24" s="4">
        <v>165000</v>
      </c>
      <c r="U24" s="4">
        <v>25900</v>
      </c>
      <c r="V24" s="4" t="s">
        <v>71</v>
      </c>
      <c r="W24" s="4">
        <v>8500</v>
      </c>
      <c r="X24" s="4">
        <v>180000</v>
      </c>
      <c r="Y24" s="5">
        <v>46160</v>
      </c>
      <c r="Z24" s="5">
        <v>46188</v>
      </c>
      <c r="AA24" s="6">
        <v>30</v>
      </c>
      <c r="AB24" s="4">
        <v>17.329999999999998</v>
      </c>
      <c r="AC24" s="6">
        <v>29.99</v>
      </c>
      <c r="AD24" s="4">
        <v>190900</v>
      </c>
      <c r="AE24" s="8">
        <v>0.86432687270822417</v>
      </c>
      <c r="AF24" s="4" t="s">
        <v>83</v>
      </c>
      <c r="AG24" s="4" t="s">
        <v>83</v>
      </c>
      <c r="AH24" s="17" t="s">
        <v>99</v>
      </c>
      <c r="AI24" s="17" t="s">
        <v>226</v>
      </c>
      <c r="AJ24" s="18">
        <v>921.11999999999989</v>
      </c>
      <c r="AK24" s="18">
        <f>AJ24*12.25</f>
        <v>11283.72</v>
      </c>
      <c r="AL24" s="18">
        <v>93.26</v>
      </c>
      <c r="AM24" s="18">
        <f>AL24*12.25</f>
        <v>1142.4350000000002</v>
      </c>
      <c r="AN24" s="18">
        <v>343.74</v>
      </c>
      <c r="AO24" s="18">
        <f>AN24*12.5</f>
        <v>4296.75</v>
      </c>
      <c r="AP24" s="18">
        <v>251.21</v>
      </c>
      <c r="AQ24" s="18">
        <f>AP24*12.5</f>
        <v>3140.125</v>
      </c>
      <c r="AR24" s="18">
        <f t="shared" si="0"/>
        <v>19863.03</v>
      </c>
      <c r="AS24" s="18">
        <v>302.95</v>
      </c>
      <c r="AT24" s="18">
        <f>AS24*12.5</f>
        <v>3786.875</v>
      </c>
      <c r="AU24" s="18">
        <f t="shared" si="1"/>
        <v>15147.5</v>
      </c>
      <c r="AV24" s="18">
        <v>7882</v>
      </c>
      <c r="AW24" s="29">
        <f t="shared" si="2"/>
        <v>52.03</v>
      </c>
      <c r="AX24" s="30" t="str">
        <f t="shared" si="3"/>
        <v>Medium Risk</v>
      </c>
      <c r="AY24" s="18" t="str">
        <f t="shared" si="4"/>
        <v/>
      </c>
      <c r="AZ24" s="18" t="str">
        <f t="shared" si="5"/>
        <v>YES</v>
      </c>
      <c r="BA24" s="18" t="str">
        <f t="shared" si="6"/>
        <v/>
      </c>
      <c r="BB24" s="18" t="str">
        <f t="shared" si="7"/>
        <v/>
      </c>
    </row>
    <row r="25" spans="1:54" x14ac:dyDescent="0.2">
      <c r="A25" s="2">
        <v>23</v>
      </c>
      <c r="B25" s="2" t="s">
        <v>227</v>
      </c>
      <c r="C25" s="15">
        <v>46147.495254629634</v>
      </c>
      <c r="D25" s="2" t="s">
        <v>228</v>
      </c>
      <c r="E25" s="2" t="s">
        <v>58</v>
      </c>
      <c r="F25" s="2" t="s">
        <v>121</v>
      </c>
      <c r="G25" s="2" t="s">
        <v>122</v>
      </c>
      <c r="H25" s="2" t="s">
        <v>114</v>
      </c>
      <c r="I25" s="2" t="s">
        <v>62</v>
      </c>
      <c r="J25" s="2" t="s">
        <v>63</v>
      </c>
      <c r="K25" s="4"/>
      <c r="L25" s="4" t="s">
        <v>64</v>
      </c>
      <c r="M25" s="4">
        <v>8830935296</v>
      </c>
      <c r="N25" s="4" t="s">
        <v>229</v>
      </c>
      <c r="O25" s="4" t="s">
        <v>230</v>
      </c>
      <c r="P25" s="4" t="s">
        <v>125</v>
      </c>
      <c r="Q25" s="4" t="s">
        <v>68</v>
      </c>
      <c r="R25" s="4" t="s">
        <v>82</v>
      </c>
      <c r="S25" s="4" t="s">
        <v>70</v>
      </c>
      <c r="T25" s="4">
        <v>140000</v>
      </c>
      <c r="U25" s="4">
        <v>24650</v>
      </c>
      <c r="V25" s="4">
        <v>746</v>
      </c>
      <c r="W25" s="4">
        <v>5001</v>
      </c>
      <c r="X25" s="4">
        <v>61000</v>
      </c>
      <c r="Y25" s="5">
        <v>46160</v>
      </c>
      <c r="Z25" s="5">
        <v>46188</v>
      </c>
      <c r="AA25" s="6">
        <v>24</v>
      </c>
      <c r="AB25" s="4">
        <v>17.09</v>
      </c>
      <c r="AC25" s="6">
        <v>29.99</v>
      </c>
      <c r="AD25" s="4">
        <v>164650</v>
      </c>
      <c r="AE25" s="8">
        <v>0.85028849073792889</v>
      </c>
      <c r="AF25" s="4" t="s">
        <v>83</v>
      </c>
      <c r="AG25" s="4" t="s">
        <v>83</v>
      </c>
      <c r="AH25" s="17" t="s">
        <v>99</v>
      </c>
      <c r="AI25" s="17" t="s">
        <v>231</v>
      </c>
      <c r="AJ25" s="18">
        <v>129.21</v>
      </c>
      <c r="AK25" s="18">
        <f>AJ25*12</f>
        <v>1550.52</v>
      </c>
      <c r="AL25" s="18">
        <v>495.41</v>
      </c>
      <c r="AM25" s="18">
        <f>AL25*12</f>
        <v>5944.92</v>
      </c>
      <c r="AN25" s="18">
        <v>439.94</v>
      </c>
      <c r="AO25" s="18">
        <f>AN25*12</f>
        <v>5279.28</v>
      </c>
      <c r="AP25" s="18">
        <v>393.54</v>
      </c>
      <c r="AQ25" s="18">
        <f>AP25*12</f>
        <v>4722.4800000000005</v>
      </c>
      <c r="AR25" s="18">
        <f t="shared" si="0"/>
        <v>17497.2</v>
      </c>
      <c r="AS25" s="18">
        <v>659.92999999999984</v>
      </c>
      <c r="AT25" s="18">
        <f>AS25*12</f>
        <v>7919.159999999998</v>
      </c>
      <c r="AU25" s="18">
        <f t="shared" si="1"/>
        <v>31676.639999999992</v>
      </c>
      <c r="AV25" s="18">
        <v>7827</v>
      </c>
      <c r="AW25" s="29">
        <f t="shared" si="2"/>
        <v>24.71</v>
      </c>
      <c r="AX25" s="30" t="str">
        <f t="shared" si="3"/>
        <v>Low Risk</v>
      </c>
      <c r="AY25" s="18" t="str">
        <f t="shared" si="4"/>
        <v>YES</v>
      </c>
      <c r="AZ25" s="18" t="str">
        <f t="shared" si="5"/>
        <v/>
      </c>
      <c r="BA25" s="18" t="str">
        <f t="shared" si="6"/>
        <v/>
      </c>
      <c r="BB25" s="18" t="str">
        <f t="shared" si="7"/>
        <v/>
      </c>
    </row>
    <row r="26" spans="1:54" x14ac:dyDescent="0.2">
      <c r="A26" s="2">
        <v>24</v>
      </c>
      <c r="B26" s="2" t="s">
        <v>232</v>
      </c>
      <c r="C26" s="15">
        <v>46130.495254629634</v>
      </c>
      <c r="D26" s="2" t="s">
        <v>233</v>
      </c>
      <c r="E26" s="2" t="s">
        <v>58</v>
      </c>
      <c r="F26" s="2" t="s">
        <v>112</v>
      </c>
      <c r="G26" s="2" t="s">
        <v>113</v>
      </c>
      <c r="H26" s="2" t="s">
        <v>114</v>
      </c>
      <c r="I26" s="2" t="s">
        <v>62</v>
      </c>
      <c r="J26" s="2" t="s">
        <v>63</v>
      </c>
      <c r="K26" s="4"/>
      <c r="L26" s="4" t="s">
        <v>64</v>
      </c>
      <c r="M26" s="4">
        <v>8603735368</v>
      </c>
      <c r="N26" s="4" t="s">
        <v>234</v>
      </c>
      <c r="O26" s="4" t="s">
        <v>235</v>
      </c>
      <c r="P26" s="4" t="s">
        <v>67</v>
      </c>
      <c r="Q26" s="4" t="s">
        <v>68</v>
      </c>
      <c r="R26" s="4" t="s">
        <v>82</v>
      </c>
      <c r="S26" s="4" t="s">
        <v>70</v>
      </c>
      <c r="T26" s="4">
        <v>140000</v>
      </c>
      <c r="U26" s="4">
        <v>24650</v>
      </c>
      <c r="V26" s="4">
        <v>767</v>
      </c>
      <c r="W26" s="4">
        <v>8250</v>
      </c>
      <c r="X26" s="4">
        <v>220000</v>
      </c>
      <c r="Y26" s="5">
        <v>46160</v>
      </c>
      <c r="Z26" s="5">
        <v>46188</v>
      </c>
      <c r="AA26" s="6">
        <v>24</v>
      </c>
      <c r="AB26" s="4">
        <v>17.09</v>
      </c>
      <c r="AC26" s="6">
        <v>29.99</v>
      </c>
      <c r="AD26" s="4">
        <v>164650</v>
      </c>
      <c r="AE26" s="8">
        <v>0.85028849073792889</v>
      </c>
      <c r="AF26" s="4" t="s">
        <v>83</v>
      </c>
      <c r="AG26" s="4" t="s">
        <v>83</v>
      </c>
      <c r="AH26" s="17" t="s">
        <v>99</v>
      </c>
      <c r="AI26" s="17" t="s">
        <v>236</v>
      </c>
      <c r="AJ26" s="18">
        <v>0</v>
      </c>
      <c r="AK26" s="18">
        <f>AJ26*12.25</f>
        <v>0</v>
      </c>
      <c r="AL26" s="18">
        <v>405.25</v>
      </c>
      <c r="AM26" s="18">
        <f>AL26*12.25</f>
        <v>4964.3125</v>
      </c>
      <c r="AN26" s="18">
        <v>455.85</v>
      </c>
      <c r="AO26" s="18">
        <f>AN26*12.5</f>
        <v>5698.125</v>
      </c>
      <c r="AP26" s="18">
        <v>275.86</v>
      </c>
      <c r="AQ26" s="18">
        <f>AP26*12.5</f>
        <v>3448.25</v>
      </c>
      <c r="AR26" s="18">
        <f t="shared" si="0"/>
        <v>14110.6875</v>
      </c>
      <c r="AS26" s="18">
        <v>664.06000000000006</v>
      </c>
      <c r="AT26" s="18">
        <f>AS26*12.5</f>
        <v>8300.75</v>
      </c>
      <c r="AU26" s="18">
        <f t="shared" si="1"/>
        <v>33203</v>
      </c>
      <c r="AV26" s="18">
        <v>7827</v>
      </c>
      <c r="AW26" s="29">
        <f t="shared" si="2"/>
        <v>23.57</v>
      </c>
      <c r="AX26" s="30" t="str">
        <f t="shared" si="3"/>
        <v>Low Risk</v>
      </c>
      <c r="AY26" s="18" t="str">
        <f t="shared" si="4"/>
        <v>YES</v>
      </c>
      <c r="AZ26" s="18" t="str">
        <f t="shared" si="5"/>
        <v/>
      </c>
      <c r="BA26" s="18" t="str">
        <f t="shared" si="6"/>
        <v/>
      </c>
      <c r="BB26" s="18" t="str">
        <f t="shared" si="7"/>
        <v/>
      </c>
    </row>
    <row r="27" spans="1:54" x14ac:dyDescent="0.2">
      <c r="A27" s="2">
        <v>25</v>
      </c>
      <c r="B27" s="2" t="s">
        <v>237</v>
      </c>
      <c r="C27" s="15">
        <v>46161.495254629634</v>
      </c>
      <c r="D27" s="2" t="s">
        <v>238</v>
      </c>
      <c r="E27" s="2" t="s">
        <v>58</v>
      </c>
      <c r="F27" s="2" t="s">
        <v>239</v>
      </c>
      <c r="G27" s="2" t="s">
        <v>240</v>
      </c>
      <c r="H27" s="2" t="s">
        <v>61</v>
      </c>
      <c r="I27" s="2" t="s">
        <v>62</v>
      </c>
      <c r="J27" s="2" t="s">
        <v>63</v>
      </c>
      <c r="K27" s="4"/>
      <c r="L27" s="4" t="s">
        <v>64</v>
      </c>
      <c r="M27" s="4">
        <v>9135671675</v>
      </c>
      <c r="N27" s="4" t="s">
        <v>241</v>
      </c>
      <c r="O27" s="4" t="s">
        <v>242</v>
      </c>
      <c r="P27" s="4" t="s">
        <v>67</v>
      </c>
      <c r="Q27" s="4" t="s">
        <v>68</v>
      </c>
      <c r="R27" s="4" t="s">
        <v>82</v>
      </c>
      <c r="S27" s="4" t="s">
        <v>70</v>
      </c>
      <c r="T27" s="4">
        <v>150000</v>
      </c>
      <c r="U27" s="4">
        <v>25950</v>
      </c>
      <c r="V27" s="4">
        <v>747</v>
      </c>
      <c r="W27" s="4">
        <v>10000</v>
      </c>
      <c r="X27" s="4">
        <v>220000</v>
      </c>
      <c r="Y27" s="5">
        <v>46164</v>
      </c>
      <c r="Z27" s="5">
        <v>46188</v>
      </c>
      <c r="AA27" s="6">
        <v>30</v>
      </c>
      <c r="AB27" s="4">
        <v>17.34</v>
      </c>
      <c r="AC27" s="6">
        <v>30.01</v>
      </c>
      <c r="AD27" s="4">
        <v>175950</v>
      </c>
      <c r="AE27" s="8">
        <v>0.85251491901108267</v>
      </c>
      <c r="AF27" s="4" t="s">
        <v>83</v>
      </c>
      <c r="AG27" s="4" t="s">
        <v>83</v>
      </c>
      <c r="AH27" s="17" t="s">
        <v>99</v>
      </c>
      <c r="AI27" s="17" t="s">
        <v>243</v>
      </c>
      <c r="AJ27" s="18">
        <v>1.79</v>
      </c>
      <c r="AK27" s="18">
        <f>AJ27*12.25</f>
        <v>21.927500000000002</v>
      </c>
      <c r="AL27" s="18">
        <v>0</v>
      </c>
      <c r="AM27" s="18">
        <f>AL27*12.25</f>
        <v>0</v>
      </c>
      <c r="AN27" s="18">
        <v>315.27</v>
      </c>
      <c r="AO27" s="18">
        <f>AN27*12.5</f>
        <v>3940.875</v>
      </c>
      <c r="AP27" s="18">
        <v>528.03</v>
      </c>
      <c r="AQ27" s="18">
        <f>AP27*12.5</f>
        <v>6600.375</v>
      </c>
      <c r="AR27" s="18">
        <f t="shared" si="0"/>
        <v>10563.1775</v>
      </c>
      <c r="AS27" s="18">
        <v>621.1400000000001</v>
      </c>
      <c r="AT27" s="18">
        <f>AS27*12.5</f>
        <v>7764.2500000000009</v>
      </c>
      <c r="AU27" s="18">
        <f t="shared" si="1"/>
        <v>31057.000000000004</v>
      </c>
      <c r="AV27" s="18">
        <v>7167</v>
      </c>
      <c r="AW27" s="29">
        <f t="shared" si="2"/>
        <v>23.08</v>
      </c>
      <c r="AX27" s="30" t="str">
        <f t="shared" si="3"/>
        <v>Low Risk</v>
      </c>
      <c r="AY27" s="18" t="str">
        <f t="shared" si="4"/>
        <v>YES</v>
      </c>
      <c r="AZ27" s="18" t="str">
        <f t="shared" si="5"/>
        <v/>
      </c>
      <c r="BA27" s="18" t="str">
        <f t="shared" si="6"/>
        <v/>
      </c>
      <c r="BB27" s="18" t="str">
        <f t="shared" si="7"/>
        <v/>
      </c>
    </row>
    <row r="28" spans="1:54" x14ac:dyDescent="0.2">
      <c r="A28" s="2">
        <v>26</v>
      </c>
      <c r="B28" s="2" t="s">
        <v>244</v>
      </c>
      <c r="C28" s="15">
        <v>46161.495254629634</v>
      </c>
      <c r="D28" s="2" t="s">
        <v>245</v>
      </c>
      <c r="E28" s="2" t="s">
        <v>58</v>
      </c>
      <c r="F28" s="2" t="s">
        <v>180</v>
      </c>
      <c r="G28" s="2" t="s">
        <v>181</v>
      </c>
      <c r="H28" s="2" t="s">
        <v>61</v>
      </c>
      <c r="I28" s="2" t="s">
        <v>62</v>
      </c>
      <c r="J28" s="2" t="s">
        <v>63</v>
      </c>
      <c r="K28" s="4"/>
      <c r="L28" s="4" t="s">
        <v>64</v>
      </c>
      <c r="M28" s="4">
        <v>8210674212</v>
      </c>
      <c r="N28" s="4" t="s">
        <v>246</v>
      </c>
      <c r="O28" s="4" t="s">
        <v>247</v>
      </c>
      <c r="P28" s="4" t="s">
        <v>67</v>
      </c>
      <c r="Q28" s="4" t="s">
        <v>68</v>
      </c>
      <c r="R28" s="4" t="s">
        <v>82</v>
      </c>
      <c r="S28" s="4" t="s">
        <v>176</v>
      </c>
      <c r="T28" s="4">
        <v>200000</v>
      </c>
      <c r="U28" s="4">
        <v>36385</v>
      </c>
      <c r="V28" s="4">
        <v>800</v>
      </c>
      <c r="W28" s="4">
        <v>10000</v>
      </c>
      <c r="X28" s="4">
        <v>220000</v>
      </c>
      <c r="Y28" s="5">
        <v>46164</v>
      </c>
      <c r="Z28" s="5">
        <v>46188</v>
      </c>
      <c r="AA28" s="6">
        <v>30</v>
      </c>
      <c r="AB28" s="4">
        <v>17.61</v>
      </c>
      <c r="AC28" s="6">
        <v>30.43</v>
      </c>
      <c r="AD28" s="4">
        <v>236385</v>
      </c>
      <c r="AE28" s="8">
        <v>0.84607737377583181</v>
      </c>
      <c r="AF28" s="4" t="s">
        <v>83</v>
      </c>
      <c r="AG28" s="4" t="s">
        <v>83</v>
      </c>
      <c r="AH28" s="17" t="s">
        <v>99</v>
      </c>
      <c r="AI28" s="17" t="s">
        <v>248</v>
      </c>
      <c r="AJ28" s="18">
        <v>15.69</v>
      </c>
      <c r="AK28" s="18">
        <f>AJ28*12.25</f>
        <v>192.20249999999999</v>
      </c>
      <c r="AL28" s="18">
        <v>102.17</v>
      </c>
      <c r="AM28" s="18">
        <f>AL28*12.25</f>
        <v>1251.5825</v>
      </c>
      <c r="AN28" s="18">
        <v>263.33999999999997</v>
      </c>
      <c r="AO28" s="18">
        <f>AN28*12.5</f>
        <v>3291.7499999999995</v>
      </c>
      <c r="AP28" s="18">
        <v>628.79999999999995</v>
      </c>
      <c r="AQ28" s="18">
        <f>AP28*12.5</f>
        <v>7859.9999999999991</v>
      </c>
      <c r="AR28" s="18">
        <f t="shared" si="0"/>
        <v>12595.534999999998</v>
      </c>
      <c r="AS28" s="18">
        <v>495.25</v>
      </c>
      <c r="AT28" s="18">
        <f>AS28*12.5</f>
        <v>6190.625</v>
      </c>
      <c r="AU28" s="18">
        <f t="shared" si="1"/>
        <v>24762.5</v>
      </c>
      <c r="AV28" s="18">
        <v>9601</v>
      </c>
      <c r="AW28" s="29">
        <f t="shared" si="2"/>
        <v>38.770000000000003</v>
      </c>
      <c r="AX28" s="30" t="str">
        <f t="shared" si="3"/>
        <v>Low Risk</v>
      </c>
      <c r="AY28" s="18" t="str">
        <f t="shared" si="4"/>
        <v>YES</v>
      </c>
      <c r="AZ28" s="18" t="str">
        <f t="shared" si="5"/>
        <v/>
      </c>
      <c r="BA28" s="18" t="str">
        <f t="shared" si="6"/>
        <v/>
      </c>
      <c r="BB28" s="18" t="str">
        <f t="shared" si="7"/>
        <v/>
      </c>
    </row>
    <row r="29" spans="1:54" x14ac:dyDescent="0.2">
      <c r="A29" s="2">
        <v>27</v>
      </c>
      <c r="B29" s="2" t="s">
        <v>249</v>
      </c>
      <c r="C29" s="15">
        <v>46161.495254629634</v>
      </c>
      <c r="D29" s="2" t="s">
        <v>250</v>
      </c>
      <c r="E29" s="2" t="s">
        <v>58</v>
      </c>
      <c r="F29" s="2" t="s">
        <v>251</v>
      </c>
      <c r="G29" s="2" t="s">
        <v>252</v>
      </c>
      <c r="H29" s="2" t="s">
        <v>61</v>
      </c>
      <c r="I29" s="2" t="s">
        <v>62</v>
      </c>
      <c r="J29" s="2" t="s">
        <v>63</v>
      </c>
      <c r="K29" s="4"/>
      <c r="L29" s="4" t="s">
        <v>64</v>
      </c>
      <c r="M29" s="4">
        <v>9006017791</v>
      </c>
      <c r="N29" s="4" t="s">
        <v>253</v>
      </c>
      <c r="O29" s="4" t="s">
        <v>254</v>
      </c>
      <c r="P29" s="4" t="s">
        <v>67</v>
      </c>
      <c r="Q29" s="4" t="s">
        <v>68</v>
      </c>
      <c r="R29" s="4" t="s">
        <v>82</v>
      </c>
      <c r="S29" s="4" t="s">
        <v>70</v>
      </c>
      <c r="T29" s="4">
        <v>150000</v>
      </c>
      <c r="U29" s="4">
        <v>50000</v>
      </c>
      <c r="V29" s="4" t="s">
        <v>71</v>
      </c>
      <c r="W29" s="4">
        <v>9350</v>
      </c>
      <c r="X29" s="4">
        <v>150000</v>
      </c>
      <c r="Y29" s="5">
        <v>46164</v>
      </c>
      <c r="Z29" s="5">
        <v>46188</v>
      </c>
      <c r="AA29" s="6">
        <v>30</v>
      </c>
      <c r="AB29" s="4">
        <v>17.34</v>
      </c>
      <c r="AC29" s="6">
        <v>30.01</v>
      </c>
      <c r="AD29" s="4">
        <v>175950</v>
      </c>
      <c r="AE29" s="8">
        <v>0.85251491901108267</v>
      </c>
      <c r="AF29" s="4" t="s">
        <v>83</v>
      </c>
      <c r="AG29" s="4" t="s">
        <v>83</v>
      </c>
      <c r="AH29" s="17" t="s">
        <v>99</v>
      </c>
      <c r="AI29" s="17" t="s">
        <v>255</v>
      </c>
      <c r="AJ29" s="18">
        <v>545.1</v>
      </c>
      <c r="AK29" s="18">
        <f>AJ29*12.25</f>
        <v>6677.4750000000004</v>
      </c>
      <c r="AL29" s="18">
        <v>67.680000000000007</v>
      </c>
      <c r="AM29" s="18">
        <f>AL29*12.25</f>
        <v>829.08</v>
      </c>
      <c r="AN29" s="18">
        <v>13.24</v>
      </c>
      <c r="AO29" s="18">
        <f>AN29*12.5</f>
        <v>165.5</v>
      </c>
      <c r="AP29" s="18">
        <v>60.49</v>
      </c>
      <c r="AQ29" s="18">
        <f>AP29*12.5</f>
        <v>756.125</v>
      </c>
      <c r="AR29" s="18">
        <f t="shared" si="0"/>
        <v>8428.18</v>
      </c>
      <c r="AS29" s="18">
        <v>321.47000000000003</v>
      </c>
      <c r="AT29" s="18">
        <f>AS29*12.5</f>
        <v>4018.3750000000005</v>
      </c>
      <c r="AU29" s="18">
        <f t="shared" si="1"/>
        <v>16073.500000000002</v>
      </c>
      <c r="AV29" s="18">
        <v>7167</v>
      </c>
      <c r="AW29" s="29">
        <f t="shared" si="2"/>
        <v>44.59</v>
      </c>
      <c r="AX29" s="30" t="str">
        <f t="shared" si="3"/>
        <v>Low Risk</v>
      </c>
      <c r="AY29" s="18" t="str">
        <f t="shared" si="4"/>
        <v>YES</v>
      </c>
      <c r="AZ29" s="18" t="str">
        <f t="shared" si="5"/>
        <v/>
      </c>
      <c r="BA29" s="18" t="str">
        <f t="shared" si="6"/>
        <v/>
      </c>
      <c r="BB29" s="18" t="str">
        <f t="shared" si="7"/>
        <v/>
      </c>
    </row>
    <row r="30" spans="1:54" x14ac:dyDescent="0.2">
      <c r="A30" s="2">
        <v>28</v>
      </c>
      <c r="B30" s="2" t="s">
        <v>256</v>
      </c>
      <c r="C30" s="15">
        <v>46164.495254629634</v>
      </c>
      <c r="D30" s="2" t="s">
        <v>257</v>
      </c>
      <c r="E30" s="2" t="s">
        <v>58</v>
      </c>
      <c r="F30" s="2" t="s">
        <v>152</v>
      </c>
      <c r="G30" s="2" t="s">
        <v>153</v>
      </c>
      <c r="H30" s="2" t="s">
        <v>114</v>
      </c>
      <c r="I30" s="2" t="s">
        <v>62</v>
      </c>
      <c r="J30" s="2" t="s">
        <v>63</v>
      </c>
      <c r="K30" s="4"/>
      <c r="L30" s="4" t="s">
        <v>64</v>
      </c>
      <c r="M30" s="4">
        <v>9341183079</v>
      </c>
      <c r="N30" s="4" t="s">
        <v>258</v>
      </c>
      <c r="O30" s="4" t="s">
        <v>259</v>
      </c>
      <c r="P30" s="4" t="s">
        <v>67</v>
      </c>
      <c r="Q30" s="4" t="s">
        <v>68</v>
      </c>
      <c r="R30" s="4" t="s">
        <v>82</v>
      </c>
      <c r="S30" s="4" t="s">
        <v>70</v>
      </c>
      <c r="T30" s="4">
        <v>130000</v>
      </c>
      <c r="U30" s="4">
        <v>43000</v>
      </c>
      <c r="V30" s="4" t="s">
        <v>71</v>
      </c>
      <c r="W30" s="4">
        <v>10000</v>
      </c>
      <c r="X30" s="4">
        <v>220000</v>
      </c>
      <c r="Y30" s="5">
        <v>46164</v>
      </c>
      <c r="Z30" s="5">
        <v>46188</v>
      </c>
      <c r="AA30" s="6">
        <v>24</v>
      </c>
      <c r="AB30" s="4">
        <v>17.09</v>
      </c>
      <c r="AC30" s="6">
        <v>29.99</v>
      </c>
      <c r="AD30" s="4">
        <v>173050</v>
      </c>
      <c r="AE30" s="8">
        <v>0.75122796879514586</v>
      </c>
      <c r="AF30" s="4" t="s">
        <v>83</v>
      </c>
      <c r="AG30" s="4" t="s">
        <v>83</v>
      </c>
      <c r="AH30" s="17" t="s">
        <v>99</v>
      </c>
      <c r="AI30" s="17" t="s">
        <v>260</v>
      </c>
      <c r="AJ30" s="18">
        <v>449.02</v>
      </c>
      <c r="AK30" s="18">
        <f>AJ30*12.25</f>
        <v>5500.4949999999999</v>
      </c>
      <c r="AL30" s="18">
        <v>427.17</v>
      </c>
      <c r="AM30" s="18">
        <f>AL30*12.25</f>
        <v>5232.8325000000004</v>
      </c>
      <c r="AN30" s="18">
        <v>364.39</v>
      </c>
      <c r="AO30" s="18">
        <f>AN30*12.5</f>
        <v>4554.875</v>
      </c>
      <c r="AP30" s="18">
        <v>452.36</v>
      </c>
      <c r="AQ30" s="18">
        <f>AP30*12.5</f>
        <v>5654.5</v>
      </c>
      <c r="AR30" s="18">
        <f t="shared" si="0"/>
        <v>20942.702499999999</v>
      </c>
      <c r="AS30" s="18">
        <v>719.90000000000009</v>
      </c>
      <c r="AT30" s="18">
        <f>AS30*12.5</f>
        <v>8998.7500000000018</v>
      </c>
      <c r="AU30" s="18">
        <f t="shared" si="1"/>
        <v>35995.000000000007</v>
      </c>
      <c r="AV30" s="18">
        <v>7268</v>
      </c>
      <c r="AW30" s="29">
        <f t="shared" si="2"/>
        <v>20.190000000000001</v>
      </c>
      <c r="AX30" s="30" t="str">
        <f t="shared" si="3"/>
        <v>Low Risk</v>
      </c>
      <c r="AY30" s="18" t="str">
        <f t="shared" si="4"/>
        <v>YES</v>
      </c>
      <c r="AZ30" s="18" t="str">
        <f t="shared" si="5"/>
        <v/>
      </c>
      <c r="BA30" s="18" t="str">
        <f t="shared" si="6"/>
        <v/>
      </c>
      <c r="BB30" s="18" t="str">
        <f t="shared" si="7"/>
        <v/>
      </c>
    </row>
    <row r="31" spans="1:54" x14ac:dyDescent="0.2">
      <c r="A31" s="2">
        <v>29</v>
      </c>
      <c r="B31" s="2" t="s">
        <v>261</v>
      </c>
      <c r="C31" s="15">
        <v>46361.564027777778</v>
      </c>
      <c r="D31" s="2" t="s">
        <v>262</v>
      </c>
      <c r="E31" s="2" t="s">
        <v>58</v>
      </c>
      <c r="F31" s="2" t="s">
        <v>121</v>
      </c>
      <c r="G31" s="2" t="s">
        <v>122</v>
      </c>
      <c r="H31" s="2" t="s">
        <v>114</v>
      </c>
      <c r="I31" s="2" t="s">
        <v>62</v>
      </c>
      <c r="J31" s="2" t="s">
        <v>63</v>
      </c>
      <c r="K31" s="4"/>
      <c r="L31" s="4" t="s">
        <v>64</v>
      </c>
      <c r="M31" s="4">
        <v>9511425648</v>
      </c>
      <c r="N31" s="4" t="s">
        <v>263</v>
      </c>
      <c r="O31" s="4" t="s">
        <v>264</v>
      </c>
      <c r="P31" s="4" t="s">
        <v>125</v>
      </c>
      <c r="Q31" s="4" t="s">
        <v>68</v>
      </c>
      <c r="R31" s="4" t="s">
        <v>82</v>
      </c>
      <c r="S31" s="4" t="s">
        <v>70</v>
      </c>
      <c r="T31" s="4">
        <v>140000</v>
      </c>
      <c r="U31" s="4">
        <v>24650</v>
      </c>
      <c r="V31" s="4" t="s">
        <v>71</v>
      </c>
      <c r="W31" s="4">
        <v>5001</v>
      </c>
      <c r="X31" s="4">
        <v>60001</v>
      </c>
      <c r="Y31" s="5">
        <v>46165</v>
      </c>
      <c r="Z31" s="5">
        <v>46188</v>
      </c>
      <c r="AA31" s="6">
        <v>24</v>
      </c>
      <c r="AB31" s="4">
        <v>17.09</v>
      </c>
      <c r="AC31" s="6">
        <v>29.99</v>
      </c>
      <c r="AD31" s="4">
        <v>164650</v>
      </c>
      <c r="AE31" s="8">
        <v>0.85028849073792889</v>
      </c>
      <c r="AF31" s="4" t="s">
        <v>83</v>
      </c>
      <c r="AG31" s="4" t="s">
        <v>83</v>
      </c>
      <c r="AH31" s="17" t="s">
        <v>99</v>
      </c>
      <c r="AI31" s="17" t="s">
        <v>265</v>
      </c>
      <c r="AJ31" s="18">
        <v>0</v>
      </c>
      <c r="AK31" s="18">
        <f>AJ31*12</f>
        <v>0</v>
      </c>
      <c r="AL31" s="18">
        <v>77.209999999999994</v>
      </c>
      <c r="AM31" s="18">
        <f>AL31*12</f>
        <v>926.52</v>
      </c>
      <c r="AN31" s="18">
        <v>469.92</v>
      </c>
      <c r="AO31" s="18">
        <f>AN31*12</f>
        <v>5639.04</v>
      </c>
      <c r="AP31" s="18">
        <v>685.46999999999991</v>
      </c>
      <c r="AQ31" s="18">
        <f>AP31*12</f>
        <v>8225.64</v>
      </c>
      <c r="AR31" s="18">
        <f t="shared" si="0"/>
        <v>14791.2</v>
      </c>
      <c r="AS31" s="18">
        <v>818.45999999999981</v>
      </c>
      <c r="AT31" s="18">
        <f>AS31*12</f>
        <v>9821.5199999999968</v>
      </c>
      <c r="AU31" s="18">
        <f t="shared" si="1"/>
        <v>39286.079999999987</v>
      </c>
      <c r="AV31" s="18">
        <v>7827</v>
      </c>
      <c r="AW31" s="29">
        <f t="shared" si="2"/>
        <v>19.920000000000002</v>
      </c>
      <c r="AX31" s="30" t="str">
        <f t="shared" si="3"/>
        <v>Low Risk</v>
      </c>
      <c r="AY31" s="18" t="str">
        <f t="shared" si="4"/>
        <v>YES</v>
      </c>
      <c r="AZ31" s="18" t="str">
        <f t="shared" si="5"/>
        <v/>
      </c>
      <c r="BA31" s="18" t="str">
        <f t="shared" si="6"/>
        <v/>
      </c>
      <c r="BB31" s="18" t="str">
        <f t="shared" si="7"/>
        <v/>
      </c>
    </row>
    <row r="32" spans="1:54" x14ac:dyDescent="0.2">
      <c r="A32" s="2">
        <v>30</v>
      </c>
      <c r="B32" s="2" t="s">
        <v>266</v>
      </c>
      <c r="C32" s="16">
        <v>46160.578726851847</v>
      </c>
      <c r="D32" s="2" t="s">
        <v>267</v>
      </c>
      <c r="E32" s="2" t="s">
        <v>58</v>
      </c>
      <c r="F32" s="2" t="s">
        <v>112</v>
      </c>
      <c r="G32" s="2" t="s">
        <v>113</v>
      </c>
      <c r="H32" s="2" t="s">
        <v>114</v>
      </c>
      <c r="I32" s="2" t="s">
        <v>62</v>
      </c>
      <c r="J32" s="2" t="s">
        <v>63</v>
      </c>
      <c r="K32" s="4"/>
      <c r="L32" s="4" t="s">
        <v>64</v>
      </c>
      <c r="M32" s="4">
        <v>9572446656</v>
      </c>
      <c r="N32" s="4" t="s">
        <v>268</v>
      </c>
      <c r="O32" s="4" t="s">
        <v>269</v>
      </c>
      <c r="P32" s="4" t="s">
        <v>67</v>
      </c>
      <c r="Q32" s="4" t="s">
        <v>68</v>
      </c>
      <c r="R32" s="4" t="s">
        <v>82</v>
      </c>
      <c r="S32" s="4" t="s">
        <v>70</v>
      </c>
      <c r="T32" s="4">
        <v>140000</v>
      </c>
      <c r="U32" s="4">
        <v>17300</v>
      </c>
      <c r="V32" s="4">
        <v>732</v>
      </c>
      <c r="W32" s="4">
        <v>10000</v>
      </c>
      <c r="X32" s="4">
        <v>220000</v>
      </c>
      <c r="Y32" s="5">
        <v>46167</v>
      </c>
      <c r="Z32" s="5">
        <v>46188</v>
      </c>
      <c r="AA32" s="6">
        <v>24</v>
      </c>
      <c r="AB32" s="4">
        <v>17.09</v>
      </c>
      <c r="AC32" s="6">
        <v>29.99</v>
      </c>
      <c r="AD32" s="4">
        <v>157300</v>
      </c>
      <c r="AE32" s="8">
        <v>0.89001907183725371</v>
      </c>
      <c r="AF32" s="4" t="s">
        <v>83</v>
      </c>
      <c r="AG32" s="4" t="s">
        <v>83</v>
      </c>
      <c r="AH32" s="17" t="s">
        <v>99</v>
      </c>
      <c r="AI32" s="17" t="s">
        <v>270</v>
      </c>
      <c r="AJ32" s="18">
        <v>357.89</v>
      </c>
      <c r="AK32" s="18">
        <f>AJ32*12.25</f>
        <v>4384.1525000000001</v>
      </c>
      <c r="AL32" s="18">
        <v>356.78</v>
      </c>
      <c r="AM32" s="18">
        <f>AL32*12.25</f>
        <v>4370.5549999999994</v>
      </c>
      <c r="AN32" s="18">
        <v>0</v>
      </c>
      <c r="AO32" s="18">
        <f>AN32*12.5</f>
        <v>0</v>
      </c>
      <c r="AP32" s="18">
        <v>104.9</v>
      </c>
      <c r="AQ32" s="18">
        <f>AP32*12.5</f>
        <v>1311.25</v>
      </c>
      <c r="AR32" s="18">
        <f t="shared" si="0"/>
        <v>10065.9575</v>
      </c>
      <c r="AS32" s="18">
        <v>357.24</v>
      </c>
      <c r="AT32" s="18">
        <f>AS32*12.5</f>
        <v>4465.5</v>
      </c>
      <c r="AU32" s="18">
        <f t="shared" si="1"/>
        <v>17862</v>
      </c>
      <c r="AV32" s="18">
        <v>7827</v>
      </c>
      <c r="AW32" s="29">
        <f t="shared" si="2"/>
        <v>43.82</v>
      </c>
      <c r="AX32" s="30" t="str">
        <f t="shared" si="3"/>
        <v>Low Risk</v>
      </c>
      <c r="AY32" s="18" t="str">
        <f t="shared" si="4"/>
        <v>YES</v>
      </c>
      <c r="AZ32" s="18" t="str">
        <f t="shared" si="5"/>
        <v/>
      </c>
      <c r="BA32" s="18" t="str">
        <f t="shared" si="6"/>
        <v/>
      </c>
      <c r="BB32" s="18" t="str">
        <f t="shared" si="7"/>
        <v/>
      </c>
    </row>
    <row r="33" spans="49:53" x14ac:dyDescent="0.2">
      <c r="AW33" t="str">
        <f t="shared" si="2"/>
        <v/>
      </c>
      <c r="AX33" s="30"/>
      <c r="AY33" t="str">
        <f t="shared" si="4"/>
        <v/>
      </c>
      <c r="AZ33" t="str">
        <f t="shared" si="5"/>
        <v/>
      </c>
      <c r="BA33" t="str">
        <f t="shared" si="6"/>
        <v/>
      </c>
    </row>
  </sheetData>
  <autoFilter ref="A2:BB32" xr:uid="{00000000-0009-0000-0000-000000000000}"/>
  <mergeCells count="5">
    <mergeCell ref="AJ1:AK1"/>
    <mergeCell ref="AN1:AO1"/>
    <mergeCell ref="AL1:AM1"/>
    <mergeCell ref="AP1:AQ1"/>
    <mergeCell ref="AS1:A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7.33203125" customWidth="1"/>
    <col min="2" max="2" width="19.33203125" customWidth="1"/>
  </cols>
  <sheetData>
    <row r="1" spans="1:2" x14ac:dyDescent="0.2">
      <c r="A1" s="24" t="s">
        <v>271</v>
      </c>
      <c r="B1" s="25" t="s">
        <v>272</v>
      </c>
    </row>
    <row r="2" spans="1:2" x14ac:dyDescent="0.2">
      <c r="A2" s="24" t="s">
        <v>52</v>
      </c>
      <c r="B2" s="25">
        <f>COUNTIF('Customer Sheet'!AX:AX,"Low Risk")</f>
        <v>21</v>
      </c>
    </row>
    <row r="3" spans="1:2" x14ac:dyDescent="0.2">
      <c r="A3" s="24" t="s">
        <v>273</v>
      </c>
      <c r="B3" s="25">
        <f>COUNTIF('Customer Sheet'!AX:AX,"Medium Risk")</f>
        <v>3</v>
      </c>
    </row>
    <row r="4" spans="1:2" x14ac:dyDescent="0.2">
      <c r="A4" s="24" t="s">
        <v>274</v>
      </c>
      <c r="B4" s="25">
        <f>COUNTIF('Customer Sheet'!AX:AX,"High Risk")</f>
        <v>2</v>
      </c>
    </row>
    <row r="5" spans="1:2" x14ac:dyDescent="0.2">
      <c r="A5" s="24" t="s">
        <v>275</v>
      </c>
      <c r="B5" s="25">
        <f>COUNTIF('Customer Sheet'!AX:AX,"Expected Default")</f>
        <v>4</v>
      </c>
    </row>
    <row r="6" spans="1:2" x14ac:dyDescent="0.2">
      <c r="B6" s="2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3A15-7163-B949-BEE0-DC007F3A0D6D}">
  <dimension ref="A3:A12"/>
  <sheetViews>
    <sheetView workbookViewId="0">
      <selection activeCell="A4" sqref="A4"/>
    </sheetView>
  </sheetViews>
  <sheetFormatPr baseColWidth="10" defaultRowHeight="15" x14ac:dyDescent="0.2"/>
  <cols>
    <col min="1" max="1" width="42.1640625" customWidth="1"/>
  </cols>
  <sheetData>
    <row r="3" spans="1:1" x14ac:dyDescent="0.2">
      <c r="A3" t="s">
        <v>281</v>
      </c>
    </row>
    <row r="8" spans="1:1" x14ac:dyDescent="0.2">
      <c r="A8" t="s">
        <v>276</v>
      </c>
    </row>
    <row r="9" spans="1:1" x14ac:dyDescent="0.2">
      <c r="A9" t="s">
        <v>277</v>
      </c>
    </row>
    <row r="10" spans="1:1" x14ac:dyDescent="0.2">
      <c r="A10" t="s">
        <v>278</v>
      </c>
    </row>
    <row r="11" spans="1:1" x14ac:dyDescent="0.2">
      <c r="A11" t="s">
        <v>279</v>
      </c>
    </row>
    <row r="12" spans="1:1" x14ac:dyDescent="0.2">
      <c r="A1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Sheet</vt:lpstr>
      <vt:lpstr>Risk Summary</vt:lpstr>
      <vt:lpstr>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Office</cp:lastModifiedBy>
  <dcterms:created xsi:type="dcterms:W3CDTF">2026-06-09T07:56:04Z</dcterms:created>
  <dcterms:modified xsi:type="dcterms:W3CDTF">2026-06-09T12:01:20Z</dcterms:modified>
</cp:coreProperties>
</file>